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SERVIDOR GITHUB\Sistema Financeiro Optical\"/>
    </mc:Choice>
  </mc:AlternateContent>
  <xr:revisionPtr revIDLastSave="0" documentId="13_ncr:1_{F6EDB828-7F41-4F21-85B2-83729695CD4C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ID">'DADOS CADASTRO'!$AJ$2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" i="9" l="1"/>
  <c r="O10" i="9"/>
  <c r="O7" i="9"/>
  <c r="O9" i="9"/>
  <c r="T9" i="9" s="1"/>
  <c r="U9" i="9" s="1"/>
  <c r="R11" i="9"/>
  <c r="R4" i="9"/>
  <c r="R5" i="9"/>
  <c r="R6" i="9"/>
  <c r="R7" i="9"/>
  <c r="R8" i="9"/>
  <c r="R9" i="9"/>
  <c r="R10" i="9"/>
  <c r="C13" i="10" l="1"/>
  <c r="C12" i="10"/>
  <c r="C11" i="10"/>
  <c r="C10" i="10"/>
  <c r="C9" i="10"/>
  <c r="C8" i="10"/>
  <c r="C7" i="10"/>
  <c r="C6" i="10"/>
  <c r="C5" i="10"/>
  <c r="C4" i="10"/>
  <c r="C3" i="10"/>
  <c r="C2" i="10"/>
  <c r="S9" i="9" l="1"/>
  <c r="T7" i="9"/>
  <c r="U7" i="9" s="1"/>
  <c r="S7" i="9" l="1"/>
  <c r="O4" i="9"/>
  <c r="T4" i="9" s="1"/>
  <c r="S4" i="9"/>
  <c r="U4" i="9" l="1"/>
  <c r="S5" i="9"/>
  <c r="S6" i="9"/>
  <c r="O6" i="9"/>
  <c r="T6" i="9" s="1"/>
  <c r="U6" i="9" s="1"/>
  <c r="O5" i="9"/>
  <c r="T5" i="9" s="1"/>
  <c r="U5" i="9" l="1"/>
  <c r="S8" i="9"/>
  <c r="O8" i="9"/>
  <c r="T8" i="9" l="1"/>
  <c r="U8" i="9" s="1"/>
  <c r="S10" i="9"/>
  <c r="T10" i="9"/>
  <c r="U10" i="9" l="1"/>
  <c r="S11" i="9"/>
  <c r="T11" i="9"/>
  <c r="U11" i="9" l="1"/>
  <c r="E8" i="10"/>
  <c r="E13" i="10"/>
  <c r="E3" i="10"/>
  <c r="E7" i="10"/>
  <c r="E9" i="10"/>
  <c r="E5" i="10"/>
  <c r="E12" i="10"/>
  <c r="E6" i="10"/>
  <c r="E4" i="10"/>
  <c r="E10" i="10"/>
  <c r="E11" i="10"/>
  <c r="E2" i="10"/>
  <c r="D13" i="10"/>
  <c r="D5" i="10"/>
  <c r="D8" i="10"/>
  <c r="D12" i="10"/>
  <c r="D6" i="10"/>
  <c r="D11" i="10"/>
  <c r="D7" i="10"/>
  <c r="D2" i="10"/>
  <c r="D3" i="10"/>
  <c r="D10" i="10"/>
  <c r="D9" i="10"/>
  <c r="D4" i="10"/>
</calcChain>
</file>

<file path=xl/sharedStrings.xml><?xml version="1.0" encoding="utf-8"?>
<sst xmlns="http://schemas.openxmlformats.org/spreadsheetml/2006/main" count="181" uniqueCount="128">
  <si>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</si>
  <si>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</si>
  <si>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</si>
  <si>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</si>
  <si>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</si>
  <si>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</si>
  <si>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</si>
  <si>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</si>
  <si>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</si>
  <si>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OD-SIL</t>
  </si>
  <si>
    <t>OD-EIXO</t>
  </si>
  <si>
    <t>OD-DNP</t>
  </si>
  <si>
    <t>OD-ADIÇÃO</t>
  </si>
  <si>
    <t>OD-ALTURA</t>
  </si>
  <si>
    <t>ED-ESF</t>
  </si>
  <si>
    <t>ED-SIL</t>
  </si>
  <si>
    <t>ED-EIXO</t>
  </si>
  <si>
    <t>ED-DNP</t>
  </si>
  <si>
    <t>ED-ADIÇÃO</t>
  </si>
  <si>
    <t>ED-ALTURA</t>
  </si>
  <si>
    <t>OE-ESF</t>
  </si>
  <si>
    <t>OE-SIL</t>
  </si>
  <si>
    <t>OE-EIXO</t>
  </si>
  <si>
    <t>OE-ALTURA</t>
  </si>
  <si>
    <t>OD-ESF2</t>
  </si>
  <si>
    <t>OD-SIL3</t>
  </si>
  <si>
    <t>OD-EIXO4</t>
  </si>
  <si>
    <t>OD-ALTURA5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</si>
  <si>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</si>
  <si>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</si>
  <si>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</si>
  <si>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</si>
  <si>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</si>
  <si>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</si>
  <si>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</si>
  <si>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</si>
  <si>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</si>
  <si>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</si>
  <si>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</si>
  <si>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</si>
  <si>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</si>
  <si>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</si>
  <si>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</si>
  <si>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</si>
  <si>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</si>
  <si>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</si>
  <si>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</si>
  <si>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</si>
  <si>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</si>
  <si>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</si>
  <si>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</si>
  <si>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UBIRAJARA PENTEADO</t>
  </si>
  <si>
    <t>+1,00</t>
  </si>
  <si>
    <t>-1,00</t>
  </si>
  <si>
    <t>+2,75</t>
  </si>
  <si>
    <t>+1,25</t>
  </si>
  <si>
    <t>-0,75</t>
  </si>
  <si>
    <t>+3,75</t>
  </si>
  <si>
    <t>+4,00</t>
  </si>
  <si>
    <t>ARMAÇÃO DO CLIENTE</t>
  </si>
  <si>
    <t>TECHNOPARK PLUS CR BLUE UV SURF</t>
  </si>
  <si>
    <t xml:space="preserve">	152596/0034</t>
  </si>
  <si>
    <t>152596/0034</t>
  </si>
  <si>
    <t>VINICIUS COLOGIS MIRANDA</t>
  </si>
  <si>
    <t>16/01/2023</t>
  </si>
  <si>
    <t>BLUE UV PLANO</t>
  </si>
  <si>
    <t>DESCANSO</t>
  </si>
  <si>
    <t xml:space="preserve">PAULO PEREIRA NEVES </t>
  </si>
  <si>
    <t>17/01/2023</t>
  </si>
  <si>
    <t>-2,00</t>
  </si>
  <si>
    <t xml:space="preserve">BLUE </t>
  </si>
  <si>
    <t>OCULOS PARA DESCANSO BLUE UV - PAGO</t>
  </si>
  <si>
    <t>ÓCULOS PARA FILHO DE PAULO-  SINAL DE 50,00 , FALTA 349,90</t>
  </si>
  <si>
    <t xml:space="preserve">TERESINHA MARIA DA SILVA OLIVEIRA </t>
  </si>
  <si>
    <t>18/01/2023</t>
  </si>
  <si>
    <t>+0,00</t>
  </si>
  <si>
    <t>-0,25</t>
  </si>
  <si>
    <t>-0,50</t>
  </si>
  <si>
    <t>+1,75</t>
  </si>
  <si>
    <t>TRIO EASY</t>
  </si>
  <si>
    <t>PAGAMENTO OK 4X C/C</t>
  </si>
  <si>
    <t>SINAL DE 50,00 - falta 349,90</t>
  </si>
  <si>
    <t>19/01/2023</t>
  </si>
  <si>
    <t>-2,50</t>
  </si>
  <si>
    <t>-3,00</t>
  </si>
  <si>
    <t>BLUE</t>
  </si>
  <si>
    <t>BEATRIZ DE MORAES SOARES</t>
  </si>
  <si>
    <t>IRÁ EFETUAR O PAGAMENTO QUANDO CARTÃO FECHAR</t>
  </si>
  <si>
    <t>PAGO 4X C/C</t>
  </si>
  <si>
    <t>PAGO EM DINHEIRO</t>
  </si>
  <si>
    <t>MARILENE VIEIRA DA SILVA RODRIGUES</t>
  </si>
  <si>
    <t>1195051-1908</t>
  </si>
  <si>
    <t>Sem observação</t>
  </si>
  <si>
    <t>24/01/2023</t>
  </si>
  <si>
    <t>+0,75</t>
  </si>
  <si>
    <t>-1,50</t>
  </si>
  <si>
    <t>BLUE MULTIFOCAL</t>
  </si>
  <si>
    <t>175877/0040</t>
  </si>
  <si>
    <t>4X C/C</t>
  </si>
  <si>
    <t>ROSILEIDE MARIA DA SILVA</t>
  </si>
  <si>
    <t>177698/0041</t>
  </si>
  <si>
    <t>+3,50</t>
  </si>
  <si>
    <t xml:space="preserve">TECHNOPARK PLUS CR BLUE+ ARMAÇÃO </t>
  </si>
  <si>
    <t>+ ANTIRREFLEXO PREMIUM TP PLUS</t>
  </si>
  <si>
    <t>350 em dinheiro , falta 400,00 pagar na retirada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</si>
  <si>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</si>
  <si>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</si>
  <si>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</si>
  <si>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</si>
  <si>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</si>
  <si>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</si>
  <si>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</si>
  <si>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</si>
  <si>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1193150-5272</t>
  </si>
  <si>
    <t>CEP</t>
  </si>
  <si>
    <t>COMPLEMENTO</t>
  </si>
  <si>
    <t>BAIRRO</t>
  </si>
  <si>
    <t>LOCALIDADE</t>
  </si>
  <si>
    <t>UF</t>
  </si>
  <si>
    <t>tiago moreira pimentel</t>
  </si>
  <si>
    <t>01</t>
  </si>
  <si>
    <t>Rua Gilberto de Carvalho</t>
  </si>
  <si>
    <t>até 598/599</t>
  </si>
  <si>
    <t>Panorama (Polvilho)</t>
  </si>
  <si>
    <t>Cajamar</t>
  </si>
  <si>
    <t>SP</t>
  </si>
  <si>
    <t>28/01/2023</t>
  </si>
  <si>
    <t>07792720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</si>
</sst>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;[Red]\-0.00\ "/>
    <numFmt numFmtId="165" formatCode="m/d/yyyy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164" fontId="0" fillId="2" borderId="0" xfId="0" applyNumberFormat="1" applyFill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10" borderId="10" xfId="0" applyFill="1" applyBorder="1" applyAlignment="1">
      <alignment vertical="center"/>
    </xf>
    <xf numFmtId="0" fontId="0" fillId="10" borderId="12" xfId="0" applyFill="1" applyBorder="1" applyAlignment="1">
      <alignment vertical="center"/>
    </xf>
    <xf numFmtId="2" fontId="0" fillId="10" borderId="12" xfId="0" applyNumberFormat="1" applyFill="1" applyBorder="1" applyAlignment="1">
      <alignment vertical="center"/>
    </xf>
    <xf numFmtId="10" fontId="0" fillId="10" borderId="12" xfId="0" applyNumberFormat="1" applyFill="1" applyBorder="1" applyAlignment="1">
      <alignment vertical="center"/>
    </xf>
    <xf numFmtId="0" fontId="8" fillId="10" borderId="12" xfId="0" applyFont="1" applyFill="1" applyBorder="1" applyAlignment="1">
      <alignment horizontal="center" vertical="center"/>
    </xf>
    <xf numFmtId="0" fontId="0" fillId="10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3" xfId="0" applyNumberFormat="1" applyBorder="1" applyAlignment="1" applyProtection="1">
      <alignment horizontal="center" vertical="center"/>
      <protection locked="0"/>
    </xf>
    <xf numFmtId="14" fontId="0" fillId="0" borderId="13" xfId="0" applyNumberFormat="1" applyBorder="1" applyAlignment="1" applyProtection="1">
      <alignment horizontal="center" vertical="center"/>
      <protection locked="0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1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" fontId="2" fillId="6" borderId="13" xfId="0" applyNumberFormat="1" applyFont="1" applyFill="1" applyBorder="1" applyAlignment="1">
      <alignment horizontal="center" vertical="center"/>
    </xf>
    <xf numFmtId="0" fontId="0" fillId="10" borderId="0" xfId="0" applyFill="1" applyAlignment="1" applyProtection="1">
      <alignment vertical="center"/>
      <protection locked="0"/>
    </xf>
    <xf numFmtId="2" fontId="0" fillId="10" borderId="0" xfId="0" applyNumberFormat="1" applyFill="1" applyAlignment="1" applyProtection="1">
      <alignment horizontal="center" vertical="center"/>
      <protection locked="0"/>
    </xf>
    <xf numFmtId="2" fontId="0" fillId="10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8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10" borderId="0" xfId="0" applyNumberFormat="1" applyFill="1" applyAlignment="1">
      <alignment vertical="center"/>
    </xf>
    <xf numFmtId="2" fontId="6" fillId="8" borderId="9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10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2" fontId="0" fillId="6" borderId="13" xfId="0" applyNumberFormat="1" applyFill="1" applyBorder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10" fontId="0" fillId="6" borderId="13" xfId="0" applyNumberFormat="1" applyFill="1" applyBorder="1" applyAlignment="1">
      <alignment horizontal="center" vertical="center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14" fontId="0" fillId="10" borderId="0" xfId="0" applyNumberFormat="1" applyFill="1" applyAlignment="1">
      <alignment vertical="center"/>
    </xf>
    <xf numFmtId="49" fontId="0" fillId="10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165" fontId="0" fillId="5" borderId="2" xfId="0" applyNumberFormat="1" applyFill="1" applyBorder="1" applyAlignment="1" applyProtection="1">
      <alignment horizontal="center" vertical="center"/>
      <protection locked="0"/>
    </xf>
    <xf numFmtId="164" fontId="0" fillId="5" borderId="11" xfId="0" applyNumberFormat="1" applyFill="1" applyBorder="1" applyAlignment="1" applyProtection="1">
      <alignment horizontal="left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left"/>
    </xf>
    <xf numFmtId="0" fontId="9" fillId="10" borderId="0" xfId="0" applyFont="1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9" fillId="10" borderId="0" xfId="0" applyFont="1" applyFill="1" applyAlignment="1" applyProtection="1">
      <alignment horizontal="left" vertical="center"/>
      <protection locked="0"/>
    </xf>
    <xf numFmtId="0" fontId="9" fillId="10" borderId="12" xfId="0" applyFont="1" applyFill="1" applyBorder="1" applyAlignment="1">
      <alignment horizontal="left" vertical="center"/>
    </xf>
  </cellXfs>
  <cellStyles count="1">
    <cellStyle name="Normal" xfId="0" builtinId="0"/>
  </cellStyles>
  <dxfs count="63"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DE VENDAS DIARIA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8922953779713703E-2"/>
          <c:y val="0.10097159940209269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0"/>
          <c:tx>
            <c:v>Custos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7"/>
              <c:pt idx="0">
                <c:v>12/01/2023</c:v>
              </c:pt>
              <c:pt idx="1">
                <c:v>16/01/2023</c:v>
              </c:pt>
              <c:pt idx="2">
                <c:v>17/01/2023</c:v>
              </c:pt>
              <c:pt idx="3">
                <c:v>18/01/2023</c:v>
              </c:pt>
              <c:pt idx="4">
                <c:v>19/01/2023</c:v>
              </c:pt>
              <c:pt idx="5">
                <c:v>24/01/2023</c:v>
              </c:pt>
              <c:pt idx="6">
                <c:v>24/01/2023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VENDAS'!$O$4:$O$1014</c15:sqref>
                  </c15:fullRef>
                </c:ext>
              </c:extLst>
              <c:f>('DADOS VENDAS'!$O$4:$O$24,'DADOS VENDAS'!$O$1009:$O$1014)</c:f>
              <c:numCache>
                <c:formatCode>0.00</c:formatCode>
                <c:ptCount val="27"/>
                <c:pt idx="0">
                  <c:v>85.9</c:v>
                </c:pt>
                <c:pt idx="1">
                  <c:v>69</c:v>
                </c:pt>
                <c:pt idx="2">
                  <c:v>69</c:v>
                </c:pt>
                <c:pt idx="3">
                  <c:v>65.88</c:v>
                </c:pt>
                <c:pt idx="4">
                  <c:v>69</c:v>
                </c:pt>
                <c:pt idx="5">
                  <c:v>203.95</c:v>
                </c:pt>
                <c:pt idx="6">
                  <c:v>163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5D-4752-A820-4D055088797F}"/>
            </c:ext>
          </c:extLst>
        </c:ser>
        <c:ser>
          <c:idx val="0"/>
          <c:order val="1"/>
          <c:tx>
            <c:v>Vendas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'DADOS VENDAS'!$I$4:$I$26</c15:sqref>
                  </c15:fullRef>
                </c:ext>
              </c:extLst>
              <c:f>'DADOS VENDAS'!$I$4:$I$24</c:f>
              <c:strCache>
                <c:ptCount val="7"/>
                <c:pt idx="0">
                  <c:v>12/01/2023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VENDAS'!$T$4:$T$1014</c15:sqref>
                  </c15:fullRef>
                </c:ext>
              </c:extLst>
              <c:f>('DADOS VENDAS'!$T$4:$T$24,'DADOS VENDAS'!$T$1009:$T$1014)</c:f>
              <c:numCache>
                <c:formatCode>0.00</c:formatCode>
                <c:ptCount val="27"/>
                <c:pt idx="0">
                  <c:v>664.1</c:v>
                </c:pt>
                <c:pt idx="1">
                  <c:v>181</c:v>
                </c:pt>
                <c:pt idx="2">
                  <c:v>330.9</c:v>
                </c:pt>
                <c:pt idx="3">
                  <c:v>334.12</c:v>
                </c:pt>
                <c:pt idx="4">
                  <c:v>191</c:v>
                </c:pt>
                <c:pt idx="5">
                  <c:v>546.04999999999995</c:v>
                </c:pt>
                <c:pt idx="6">
                  <c:v>587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D-4F97-8CCA-65CE4D70E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8455845193263873E-2"/>
          <c:y val="8.3554924486898149E-2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725.73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2834.17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230460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12" totalsRowShown="0" headerRowDxfId="62" dataDxfId="61" tableBorderDxfId="60">
  <autoFilter ref="A2:AH12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S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ED-ESF" dataDxfId="39"/>
    <tableColumn id="17" xr3:uid="{2C272586-CA72-46CB-BA36-7E1092EF12B3}" name="ED-SIL" dataDxfId="38"/>
    <tableColumn id="18" xr3:uid="{0BE5D9DD-04F9-4BBB-99CC-269B4DB9019D}" name="ED-EIXO" dataDxfId="37"/>
    <tableColumn id="19" xr3:uid="{3FFBEA31-F658-4FD3-A480-CC3DD145A9EF}" name="ED-DNP" dataDxfId="36"/>
    <tableColumn id="20" xr3:uid="{E908D2F4-4BA2-432C-9F0E-E75039BF2894}" name="ED-ADIÇÃO" dataDxfId="35"/>
    <tableColumn id="21" xr3:uid="{ECF38DDD-7946-44CC-B0D2-85000C112291}" name="ED-ALTURA" dataDxfId="34"/>
    <tableColumn id="22" xr3:uid="{051C54D0-F2D9-438E-9FF9-3BF0FCE52E9D}" name="OD-ESF2" dataDxfId="33"/>
    <tableColumn id="23" xr3:uid="{8C15F573-94E5-4874-B11D-ABF2583BEDDF}" name="OD-SIL3" dataDxfId="32"/>
    <tableColumn id="24" xr3:uid="{79AF13A8-4622-4020-90E4-35CB5546C7EC}" name="OD-EIXO4" dataDxfId="31"/>
    <tableColumn id="25" xr3:uid="{638A6A1C-2BAF-4FBF-BD5E-9D788A5BEF44}" name="OD-ALTURA5" dataDxfId="30"/>
    <tableColumn id="26" xr3:uid="{E58475FA-D630-49D8-BF83-B6C6357AFD5D}" name="OE-ESF" dataDxfId="29"/>
    <tableColumn id="27" xr3:uid="{B2E859C6-395D-4AAA-A643-AB5B493B27EC}" name="OE-SIL" dataDxfId="28"/>
    <tableColumn id="28" xr3:uid="{6256CDB5-0F01-4D3B-AAC5-B25BD56E37EC}" name="OE-EIXO" dataDxfId="27"/>
    <tableColumn id="29" xr3:uid="{20F71700-8874-4746-980B-D75DACBD3DA9}" name="OE-ALTURA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11" totalsRowShown="0" headerRowDxfId="25" dataDxfId="23" headerRowBorderDxfId="24" tableBorderDxfId="22" totalsRowBorderDxfId="21">
  <autoFilter ref="A2:U11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>
      <calculatedColumnFormula>IF(N3=0,0)</calculatedColumnFormula>
    </tableColumn>
    <tableColumn id="18" xr3:uid="{ECE9330F-23CC-4281-9283-553A77EFC171}" name="TOTAL CUSTO" dataDxfId="6">
      <calculatedColumnFormula>Tabela4[[#This Row],[MONTAGEM]]+Tabela4[[#This Row],[ARMAÇÃO]]+Tabela4[[#This Row],[CAIXINHA/SPRAY]]+Tabela4[[#This Row],[LENTE]]+Tabela4[[#This Row],[TAXA]]</calculatedColumnFormula>
    </tableColumn>
    <tableColumn id="22" xr3:uid="{B4FE8C34-491F-4AE2-AF44-E5A40AC3B06B}" name="VALOR VENDA" dataDxfId="5"/>
    <tableColumn id="14" xr3:uid="{6125DDAC-086F-40FC-A435-903F9F431D87}" name="SINAL" dataDxfId="4">
      <calculatedColumnFormula>IF(Q3=0,0)</calculatedColumnFormula>
    </tableColumn>
    <tableColumn id="16" xr3:uid="{A223BEDC-083E-462B-A406-5946C7EA20A4}" name="RESTANTE" dataDxfId="3">
      <calculatedColumnFormula>IF(Tabela4[[#This Row],[SINAL]]=0,0,Tabela4[[#This Row],[VALOR VENDA]]-Tabela4[[#This Row],[SINAL]])</calculatedColumnFormula>
    </tableColumn>
    <tableColumn id="23" xr3:uid="{9600C494-0EDE-461E-899A-D28F05663603}" name="CAIXA" dataDxfId="2">
      <calculatedColumnFormula>Tabela4[[#This Row],[VALOR VENDA]]-Tabela4[[#This Row],[TAXA]]</calculatedColumnFormula>
    </tableColumn>
    <tableColumn id="15" xr3:uid="{2D334E11-AFDE-4BD2-ADEA-3DAF30F48583}" name="LUCRO" dataDxfId="1">
      <calculatedColumnFormula>Tabela4[[#This Row],[QT]]*Tabela4[[#This Row],[VALOR VENDA]]-Tabela4[[#This Row],[TOTAL CUSTO]]</calculatedColumnFormula>
    </tableColumn>
    <tableColumn id="17" xr3:uid="{F1F51FB2-7426-41B0-9C94-BBA4EAAAE3A1}" name="LUCRO/%" dataDxfId="0">
      <calculatedColumnFormula>IF(O3=0,0,Tabela4[[#This Row],[LUCRO]]/Tabela4[[#This Row],[TOTAL CUSTO]])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tabSelected="1" zoomScaleNormal="100" workbookViewId="0">
      <selection activeCell="I26" sqref="I26"/>
    </sheetView>
  </sheetViews>
  <sheetFormatPr defaultColWidth="8.88671875" defaultRowHeight="14.4" x14ac:dyDescent="0.3"/>
  <cols>
    <col min="1" max="16384" width="8.88671875" style="32"/>
  </cols>
  <sheetData>
    <row r="1" spans="1:22" ht="70.2" customHeight="1" x14ac:dyDescent="0.3">
      <c r="A1" s="88" t="s">
        <v>45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</row>
    <row r="2" spans="1:22" x14ac:dyDescent="0.3">
      <c r="A2" s="33"/>
      <c r="V2" s="34"/>
    </row>
    <row r="3" spans="1:22" x14ac:dyDescent="0.3">
      <c r="A3" s="33"/>
      <c r="V3" s="34"/>
    </row>
    <row r="4" spans="1:22" x14ac:dyDescent="0.3">
      <c r="A4" s="33"/>
      <c r="V4" s="34"/>
    </row>
    <row r="5" spans="1:22" x14ac:dyDescent="0.3">
      <c r="A5" s="33"/>
      <c r="V5" s="34"/>
    </row>
    <row r="6" spans="1:22" x14ac:dyDescent="0.3">
      <c r="A6" s="33"/>
      <c r="V6" s="34"/>
    </row>
    <row r="7" spans="1:22" x14ac:dyDescent="0.3">
      <c r="A7" s="33"/>
      <c r="V7" s="34"/>
    </row>
    <row r="8" spans="1:22" x14ac:dyDescent="0.3">
      <c r="A8" s="33"/>
      <c r="V8" s="34"/>
    </row>
    <row r="9" spans="1:22" x14ac:dyDescent="0.3">
      <c r="A9" s="33"/>
      <c r="V9" s="34"/>
    </row>
    <row r="10" spans="1:22" x14ac:dyDescent="0.3">
      <c r="A10" s="33"/>
      <c r="V10" s="34"/>
    </row>
    <row r="11" spans="1:22" x14ac:dyDescent="0.3">
      <c r="A11" s="33"/>
      <c r="V11" s="34"/>
    </row>
    <row r="12" spans="1:22" x14ac:dyDescent="0.3">
      <c r="A12" s="33"/>
      <c r="V12" s="34"/>
    </row>
    <row r="13" spans="1:22" x14ac:dyDescent="0.3">
      <c r="A13" s="33"/>
      <c r="V13" s="34"/>
    </row>
    <row r="14" spans="1:22" x14ac:dyDescent="0.3">
      <c r="A14" s="33"/>
      <c r="I14" s="11"/>
      <c r="V14" s="34"/>
    </row>
    <row r="15" spans="1:22" x14ac:dyDescent="0.3">
      <c r="A15" s="33"/>
      <c r="V15" s="34"/>
    </row>
    <row r="16" spans="1:22" x14ac:dyDescent="0.3">
      <c r="A16" s="33"/>
      <c r="V16" s="34"/>
    </row>
    <row r="17" spans="1:22" x14ac:dyDescent="0.3">
      <c r="A17" s="33"/>
      <c r="V17" s="34"/>
    </row>
    <row r="18" spans="1:22" x14ac:dyDescent="0.3">
      <c r="A18" s="33"/>
      <c r="V18" s="34"/>
    </row>
    <row r="19" spans="1:22" x14ac:dyDescent="0.3">
      <c r="A19" s="33"/>
      <c r="V19" s="34"/>
    </row>
    <row r="20" spans="1:22" x14ac:dyDescent="0.3">
      <c r="A20" s="33"/>
      <c r="V20" s="34"/>
    </row>
    <row r="21" spans="1:22" x14ac:dyDescent="0.3">
      <c r="A21" s="33"/>
      <c r="V21" s="34"/>
    </row>
    <row r="22" spans="1:22" x14ac:dyDescent="0.3">
      <c r="A22" s="35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7"/>
    </row>
    <row r="23" spans="1:22" ht="40.200000000000003" customHeight="1" x14ac:dyDescent="0.3">
      <c r="A23" s="89" t="s">
        <v>42</v>
      </c>
      <c r="B23" s="89"/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</row>
  </sheetData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12"/>
  <sheetViews>
    <sheetView showGridLines="0" showRowColHeaders="0" workbookViewId="0">
      <pane ySplit="2" topLeftCell="A3" activePane="bottomLeft" state="frozen"/>
      <selection pane="bottomLeft" activeCell="F4" sqref="F4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85" customWidth="1"/>
    <col min="4" max="5" width="25.6640625" style="1" customWidth="1"/>
    <col min="6" max="6" width="26.33203125" style="1" customWidth="1"/>
    <col min="7" max="7" width="21" style="85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6" customWidth="1"/>
    <col min="15" max="29" width="15.6640625" style="7" customWidth="1"/>
    <col min="30" max="30" width="17" style="7" customWidth="1"/>
    <col min="31" max="34" width="15.6640625" style="7" customWidth="1"/>
    <col min="35" max="35" width="2.88671875" style="1" customWidth="1"/>
    <col min="36" max="16384" width="8.88671875" style="1"/>
  </cols>
  <sheetData>
    <row r="1" spans="1:36" s="11" customFormat="1" ht="49.95" customHeight="1" x14ac:dyDescent="0.3">
      <c r="A1" s="12"/>
      <c r="B1" s="12"/>
      <c r="C1" s="82"/>
      <c r="D1" s="12"/>
      <c r="E1" s="90" t="s">
        <v>43</v>
      </c>
      <c r="F1" s="91"/>
      <c r="G1" s="91"/>
      <c r="H1" s="91"/>
      <c r="I1" s="19"/>
      <c r="J1" s="19"/>
      <c r="K1" s="19"/>
      <c r="L1" s="19"/>
      <c r="M1" s="12"/>
      <c r="N1" s="81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J1" s="14" t="s">
        <v>28</v>
      </c>
    </row>
    <row r="2" spans="1:36" s="25" customFormat="1" ht="18" x14ac:dyDescent="0.3">
      <c r="A2" s="20" t="s">
        <v>28</v>
      </c>
      <c r="B2" s="21" t="s">
        <v>1</v>
      </c>
      <c r="C2" s="83" t="s">
        <v>6</v>
      </c>
      <c r="D2" s="21" t="s">
        <v>7</v>
      </c>
      <c r="E2" s="21" t="s">
        <v>2</v>
      </c>
      <c r="F2" s="21" t="s">
        <v>3</v>
      </c>
      <c r="G2" s="83" t="s">
        <v>114</v>
      </c>
      <c r="H2" s="21" t="s">
        <v>4</v>
      </c>
      <c r="I2" s="21" t="s">
        <v>115</v>
      </c>
      <c r="J2" s="21" t="s">
        <v>116</v>
      </c>
      <c r="K2" s="21" t="s">
        <v>117</v>
      </c>
      <c r="L2" s="21" t="s">
        <v>118</v>
      </c>
      <c r="M2" s="21" t="s">
        <v>5</v>
      </c>
      <c r="N2" s="22" t="s">
        <v>0</v>
      </c>
      <c r="O2" s="23" t="s">
        <v>8</v>
      </c>
      <c r="P2" s="23" t="s">
        <v>9</v>
      </c>
      <c r="Q2" s="23" t="s">
        <v>10</v>
      </c>
      <c r="R2" s="23" t="s">
        <v>11</v>
      </c>
      <c r="S2" s="23" t="s">
        <v>12</v>
      </c>
      <c r="T2" s="23" t="s">
        <v>13</v>
      </c>
      <c r="U2" s="23" t="s">
        <v>14</v>
      </c>
      <c r="V2" s="23" t="s">
        <v>15</v>
      </c>
      <c r="W2" s="23" t="s">
        <v>16</v>
      </c>
      <c r="X2" s="23" t="s">
        <v>17</v>
      </c>
      <c r="Y2" s="23" t="s">
        <v>18</v>
      </c>
      <c r="Z2" s="23" t="s">
        <v>19</v>
      </c>
      <c r="AA2" s="23" t="s">
        <v>24</v>
      </c>
      <c r="AB2" s="23" t="s">
        <v>25</v>
      </c>
      <c r="AC2" s="23" t="s">
        <v>26</v>
      </c>
      <c r="AD2" s="23" t="s">
        <v>27</v>
      </c>
      <c r="AE2" s="23" t="s">
        <v>20</v>
      </c>
      <c r="AF2" s="23" t="s">
        <v>21</v>
      </c>
      <c r="AG2" s="23" t="s">
        <v>22</v>
      </c>
      <c r="AH2" s="23" t="s">
        <v>23</v>
      </c>
      <c r="AI2" s="24"/>
      <c r="AJ2" s="9">
        <v>9</v>
      </c>
    </row>
    <row r="3" spans="1:36" s="25" customFormat="1" ht="18" x14ac:dyDescent="0.3">
      <c r="A3" s="20"/>
      <c r="B3" s="21"/>
      <c r="C3" s="83"/>
      <c r="D3" s="21"/>
      <c r="E3" s="21"/>
      <c r="F3" s="21"/>
      <c r="G3" s="83"/>
      <c r="H3" s="21"/>
      <c r="I3" s="21"/>
      <c r="J3" s="21"/>
      <c r="K3" s="21"/>
      <c r="L3" s="21"/>
      <c r="M3" s="21"/>
      <c r="N3" s="22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79"/>
      <c r="AJ3" s="78"/>
    </row>
    <row r="4" spans="1:36" x14ac:dyDescent="0.3">
      <c r="A4" s="3">
        <v>1</v>
      </c>
      <c r="B4" s="4" t="s">
        <v>51</v>
      </c>
      <c r="C4" s="84" t="s">
        <v>62</v>
      </c>
      <c r="D4" s="4"/>
      <c r="E4" s="4">
        <v>11996773063</v>
      </c>
      <c r="F4" s="4"/>
      <c r="G4" s="84"/>
      <c r="H4" s="4"/>
      <c r="I4" s="4"/>
      <c r="J4" s="4"/>
      <c r="K4" s="4"/>
      <c r="L4" s="4"/>
      <c r="M4" s="4" t="s">
        <v>89</v>
      </c>
      <c r="N4" s="5">
        <v>45261</v>
      </c>
      <c r="O4" s="8" t="s">
        <v>52</v>
      </c>
      <c r="P4" s="8" t="s">
        <v>53</v>
      </c>
      <c r="Q4" s="8">
        <v>10</v>
      </c>
      <c r="R4" s="8">
        <v>32</v>
      </c>
      <c r="S4" s="8" t="s">
        <v>54</v>
      </c>
      <c r="T4" s="8">
        <v>20</v>
      </c>
      <c r="U4" s="8" t="s">
        <v>55</v>
      </c>
      <c r="V4" s="8" t="s">
        <v>56</v>
      </c>
      <c r="W4" s="8">
        <v>170</v>
      </c>
      <c r="X4" s="8">
        <v>32</v>
      </c>
      <c r="Y4" s="8" t="s">
        <v>54</v>
      </c>
      <c r="Z4" s="8">
        <v>20</v>
      </c>
      <c r="AA4" s="8" t="s">
        <v>57</v>
      </c>
      <c r="AB4" s="8" t="s">
        <v>53</v>
      </c>
      <c r="AC4" s="8">
        <v>10</v>
      </c>
      <c r="AD4" s="8">
        <v>32</v>
      </c>
      <c r="AE4" s="8" t="s">
        <v>58</v>
      </c>
      <c r="AF4" s="8" t="s">
        <v>56</v>
      </c>
      <c r="AG4" s="8">
        <v>170</v>
      </c>
      <c r="AH4" s="8">
        <v>32</v>
      </c>
      <c r="AI4" s="46"/>
    </row>
    <row r="5" spans="1:36" x14ac:dyDescent="0.3">
      <c r="A5" s="3">
        <v>2</v>
      </c>
      <c r="B5" s="4" t="s">
        <v>63</v>
      </c>
      <c r="C5" s="84">
        <v>35</v>
      </c>
      <c r="D5" s="4"/>
      <c r="E5" s="4">
        <v>11941875014</v>
      </c>
      <c r="F5" s="4"/>
      <c r="G5" s="84"/>
      <c r="H5" s="4"/>
      <c r="I5" s="4"/>
      <c r="J5" s="4"/>
      <c r="K5" s="4"/>
      <c r="L5" s="4"/>
      <c r="M5" s="4" t="s">
        <v>71</v>
      </c>
      <c r="N5" s="5" t="s">
        <v>64</v>
      </c>
      <c r="O5" s="8">
        <v>0</v>
      </c>
      <c r="P5" s="8">
        <v>0</v>
      </c>
      <c r="Q5" s="8">
        <v>0</v>
      </c>
      <c r="R5" s="8"/>
      <c r="S5" s="8">
        <v>0</v>
      </c>
      <c r="T5" s="8">
        <v>0</v>
      </c>
      <c r="U5" s="8">
        <v>0</v>
      </c>
      <c r="V5" s="8">
        <v>0</v>
      </c>
      <c r="W5" s="8">
        <v>0</v>
      </c>
      <c r="X5" s="8"/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</row>
    <row r="6" spans="1:36" x14ac:dyDescent="0.3">
      <c r="A6" s="3">
        <v>3</v>
      </c>
      <c r="B6" s="4" t="s">
        <v>67</v>
      </c>
      <c r="C6" s="84">
        <v>36</v>
      </c>
      <c r="D6" s="4"/>
      <c r="E6" s="4">
        <v>11974661323</v>
      </c>
      <c r="F6" s="4"/>
      <c r="G6" s="84"/>
      <c r="H6" s="4"/>
      <c r="I6" s="4"/>
      <c r="J6" s="4"/>
      <c r="K6" s="4"/>
      <c r="L6" s="4"/>
      <c r="M6" s="4" t="s">
        <v>72</v>
      </c>
      <c r="N6" s="5" t="s">
        <v>68</v>
      </c>
      <c r="O6" s="8" t="s">
        <v>69</v>
      </c>
      <c r="P6" s="8">
        <v>0</v>
      </c>
      <c r="Q6" s="8">
        <v>0</v>
      </c>
      <c r="R6" s="8">
        <v>30</v>
      </c>
      <c r="S6" s="8">
        <v>0</v>
      </c>
      <c r="T6" s="8">
        <v>0</v>
      </c>
      <c r="U6" s="8" t="s">
        <v>69</v>
      </c>
      <c r="V6" s="8">
        <v>0</v>
      </c>
      <c r="W6" s="8">
        <v>0</v>
      </c>
      <c r="X6" s="8">
        <v>29.5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</row>
    <row r="7" spans="1:36" x14ac:dyDescent="0.3">
      <c r="A7" s="3">
        <v>4</v>
      </c>
      <c r="B7" s="4" t="s">
        <v>73</v>
      </c>
      <c r="C7" s="84">
        <v>37</v>
      </c>
      <c r="D7" s="4"/>
      <c r="E7" s="4">
        <v>11941447046</v>
      </c>
      <c r="F7" s="4"/>
      <c r="G7" s="84"/>
      <c r="H7" s="4"/>
      <c r="I7" s="4"/>
      <c r="J7" s="4"/>
      <c r="K7" s="4"/>
      <c r="L7" s="4"/>
      <c r="M7" s="4" t="s">
        <v>88</v>
      </c>
      <c r="N7" s="5">
        <v>44944</v>
      </c>
      <c r="O7" s="8" t="s">
        <v>75</v>
      </c>
      <c r="P7" s="8" t="s">
        <v>76</v>
      </c>
      <c r="Q7" s="8">
        <v>90</v>
      </c>
      <c r="R7" s="8">
        <v>31</v>
      </c>
      <c r="S7" s="8">
        <v>0</v>
      </c>
      <c r="T7" s="8">
        <v>0</v>
      </c>
      <c r="U7" s="8" t="s">
        <v>75</v>
      </c>
      <c r="V7" s="8" t="s">
        <v>77</v>
      </c>
      <c r="W7" s="8">
        <v>20</v>
      </c>
      <c r="X7" s="8">
        <v>30</v>
      </c>
      <c r="Y7" s="8">
        <v>0</v>
      </c>
      <c r="Z7" s="8">
        <v>0</v>
      </c>
      <c r="AA7" s="8" t="s">
        <v>78</v>
      </c>
      <c r="AB7" s="8" t="s">
        <v>76</v>
      </c>
      <c r="AC7" s="8">
        <v>90</v>
      </c>
      <c r="AD7" s="8">
        <v>31</v>
      </c>
      <c r="AE7" s="8" t="s">
        <v>78</v>
      </c>
      <c r="AF7" s="8" t="s">
        <v>77</v>
      </c>
      <c r="AG7" s="8">
        <v>20</v>
      </c>
      <c r="AH7" s="8">
        <v>30</v>
      </c>
    </row>
    <row r="8" spans="1:36" x14ac:dyDescent="0.3">
      <c r="A8" s="3">
        <v>5</v>
      </c>
      <c r="B8" s="4" t="s">
        <v>86</v>
      </c>
      <c r="C8" s="84">
        <v>38</v>
      </c>
      <c r="D8" s="4"/>
      <c r="E8" s="4" t="s">
        <v>113</v>
      </c>
      <c r="F8" s="4"/>
      <c r="G8" s="84"/>
      <c r="H8" s="4"/>
      <c r="I8" s="4"/>
      <c r="J8" s="4"/>
      <c r="K8" s="4"/>
      <c r="L8" s="4"/>
      <c r="M8" s="4" t="s">
        <v>87</v>
      </c>
      <c r="N8" s="5" t="s">
        <v>82</v>
      </c>
      <c r="O8" s="8" t="s">
        <v>83</v>
      </c>
      <c r="P8" s="8" t="s">
        <v>77</v>
      </c>
      <c r="Q8" s="8">
        <v>115</v>
      </c>
      <c r="R8" s="8">
        <v>27</v>
      </c>
      <c r="S8" s="8">
        <v>0</v>
      </c>
      <c r="T8" s="8">
        <v>0</v>
      </c>
      <c r="U8" s="8" t="s">
        <v>84</v>
      </c>
      <c r="V8" s="8" t="s">
        <v>76</v>
      </c>
      <c r="W8" s="8">
        <v>60</v>
      </c>
      <c r="X8" s="8">
        <v>27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</row>
    <row r="9" spans="1:36" x14ac:dyDescent="0.3">
      <c r="A9" s="3">
        <v>6</v>
      </c>
      <c r="B9" s="4" t="s">
        <v>90</v>
      </c>
      <c r="C9" s="84" t="s">
        <v>97</v>
      </c>
      <c r="D9" s="4"/>
      <c r="E9" s="4" t="s">
        <v>91</v>
      </c>
      <c r="F9" s="4"/>
      <c r="G9" s="84"/>
      <c r="H9" s="4"/>
      <c r="I9" s="4"/>
      <c r="J9" s="4"/>
      <c r="K9" s="4"/>
      <c r="L9" s="4"/>
      <c r="M9" s="4" t="s">
        <v>92</v>
      </c>
      <c r="N9" s="5" t="s">
        <v>93</v>
      </c>
      <c r="O9" s="8" t="s">
        <v>94</v>
      </c>
      <c r="P9" s="8" t="s">
        <v>69</v>
      </c>
      <c r="Q9" s="8">
        <v>155</v>
      </c>
      <c r="R9" s="8">
        <v>31</v>
      </c>
      <c r="S9" s="8">
        <v>0</v>
      </c>
      <c r="T9" s="8">
        <v>22</v>
      </c>
      <c r="U9" s="8" t="s">
        <v>94</v>
      </c>
      <c r="V9" s="8" t="s">
        <v>95</v>
      </c>
      <c r="W9" s="8">
        <v>15</v>
      </c>
      <c r="X9" s="8">
        <v>31</v>
      </c>
      <c r="Y9" s="8">
        <v>0</v>
      </c>
      <c r="Z9" s="8">
        <v>22</v>
      </c>
      <c r="AA9" s="8" t="s">
        <v>54</v>
      </c>
      <c r="AB9" s="8" t="s">
        <v>69</v>
      </c>
      <c r="AC9" s="8">
        <v>155</v>
      </c>
      <c r="AD9" s="8">
        <v>31</v>
      </c>
      <c r="AE9" s="8" t="s">
        <v>54</v>
      </c>
      <c r="AF9" s="8" t="s">
        <v>95</v>
      </c>
      <c r="AG9" s="8">
        <v>15</v>
      </c>
      <c r="AH9" s="8">
        <v>31</v>
      </c>
    </row>
    <row r="10" spans="1:36" x14ac:dyDescent="0.3">
      <c r="A10" s="3">
        <v>7</v>
      </c>
      <c r="B10" s="4" t="s">
        <v>99</v>
      </c>
      <c r="C10" s="84" t="s">
        <v>100</v>
      </c>
      <c r="D10" s="4"/>
      <c r="E10" s="4">
        <v>11961805927</v>
      </c>
      <c r="F10" s="4"/>
      <c r="G10" s="84"/>
      <c r="H10" s="4"/>
      <c r="I10" s="4"/>
      <c r="J10" s="4"/>
      <c r="K10" s="4"/>
      <c r="L10" s="4"/>
      <c r="M10" s="4" t="s">
        <v>104</v>
      </c>
      <c r="N10" s="5" t="s">
        <v>93</v>
      </c>
      <c r="O10" s="8" t="s">
        <v>55</v>
      </c>
      <c r="P10" s="8" t="s">
        <v>77</v>
      </c>
      <c r="Q10" s="8">
        <v>5</v>
      </c>
      <c r="R10" s="8">
        <v>31</v>
      </c>
      <c r="S10" s="8">
        <v>0</v>
      </c>
      <c r="T10" s="8">
        <v>23</v>
      </c>
      <c r="U10" s="8" t="s">
        <v>55</v>
      </c>
      <c r="V10" s="8" t="s">
        <v>77</v>
      </c>
      <c r="W10" s="8">
        <v>135</v>
      </c>
      <c r="X10" s="8">
        <v>30</v>
      </c>
      <c r="Y10" s="8">
        <v>0</v>
      </c>
      <c r="Z10" s="8">
        <v>23</v>
      </c>
      <c r="AA10" s="8" t="s">
        <v>101</v>
      </c>
      <c r="AB10" s="8" t="s">
        <v>77</v>
      </c>
      <c r="AC10" s="8">
        <v>5</v>
      </c>
      <c r="AD10" s="8">
        <v>31</v>
      </c>
      <c r="AE10" s="8" t="s">
        <v>101</v>
      </c>
      <c r="AF10" s="8" t="s">
        <v>77</v>
      </c>
      <c r="AG10" s="8">
        <v>135</v>
      </c>
      <c r="AH10" s="8">
        <v>30</v>
      </c>
    </row>
    <row r="11" spans="1:36" x14ac:dyDescent="0.3">
      <c r="A11" s="3">
        <v>8</v>
      </c>
      <c r="B11" s="4" t="s">
        <v>119</v>
      </c>
      <c r="C11" s="84" t="s">
        <v>120</v>
      </c>
      <c r="D11" s="4">
        <v>44980611</v>
      </c>
      <c r="E11" s="4">
        <v>11947096148</v>
      </c>
      <c r="F11" s="4">
        <v>46243456811</v>
      </c>
      <c r="G11" s="84" t="s">
        <v>127</v>
      </c>
      <c r="H11" s="4" t="s">
        <v>121</v>
      </c>
      <c r="I11" s="4" t="s">
        <v>122</v>
      </c>
      <c r="J11" s="4" t="s">
        <v>123</v>
      </c>
      <c r="K11" s="4" t="s">
        <v>124</v>
      </c>
      <c r="L11" s="4" t="s">
        <v>125</v>
      </c>
      <c r="M11" s="4" t="s">
        <v>92</v>
      </c>
      <c r="N11" s="5" t="s">
        <v>126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</row>
    <row r="12" spans="1:36" x14ac:dyDescent="0.3">
      <c r="A12" s="3"/>
      <c r="B12" s="4"/>
      <c r="C12" s="84"/>
      <c r="D12" s="3"/>
      <c r="E12" s="4"/>
      <c r="F12" s="4"/>
      <c r="G12" s="84"/>
      <c r="H12" s="4"/>
      <c r="I12" s="4"/>
      <c r="J12" s="4"/>
      <c r="K12" s="4"/>
      <c r="L12" s="4"/>
      <c r="M12" s="4"/>
      <c r="N12" s="86"/>
      <c r="O12" s="87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</row>
  </sheetData>
  <sheetProtection algorithmName="SHA-512" hashValue="D2Rn/YZ1Fd2oY+SoWCeEeQDBnYS6kt4gGkYVgptI+R5e5S9cptGZRTrlgcprg7CqFSJmq9xP8DB2vHct7Mp0Hw==" saltValue="U0VwzqKe40/gqWWGhpExHA==" spinCount="100000" sheet="1" objects="1" scenarios="1"/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20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5.21875" style="1" customWidth="1"/>
    <col min="2" max="2" width="16" style="1" customWidth="1"/>
    <col min="3" max="3" width="12.77734375" style="1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6" customWidth="1"/>
    <col min="10" max="14" width="12.77734375" style="2" customWidth="1"/>
    <col min="15" max="15" width="15.6640625" style="70" customWidth="1"/>
    <col min="16" max="17" width="15.6640625" style="2" customWidth="1"/>
    <col min="18" max="18" width="15.6640625" style="70" customWidth="1"/>
    <col min="19" max="19" width="15.6640625" style="73" customWidth="1"/>
    <col min="20" max="20" width="15.6640625" style="70" customWidth="1"/>
    <col min="21" max="21" width="15.6640625" style="73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54"/>
      <c r="B1" s="54"/>
      <c r="C1" s="54"/>
      <c r="D1" s="54"/>
      <c r="E1" s="92" t="s">
        <v>44</v>
      </c>
      <c r="F1" s="92"/>
      <c r="G1" s="92"/>
      <c r="H1" s="92"/>
      <c r="I1" s="92"/>
      <c r="J1" s="55"/>
      <c r="K1" s="55"/>
      <c r="L1" s="55"/>
      <c r="M1" s="55"/>
      <c r="N1" s="55"/>
      <c r="O1" s="67"/>
      <c r="P1" s="56"/>
      <c r="Q1" s="56"/>
      <c r="R1" s="67"/>
      <c r="S1" s="72"/>
      <c r="T1" s="67"/>
      <c r="U1" s="72"/>
      <c r="V1" s="57"/>
      <c r="W1" s="58" t="s">
        <v>28</v>
      </c>
      <c r="X1" s="57"/>
      <c r="Y1" s="57"/>
    </row>
    <row r="2" spans="1:25" ht="18" x14ac:dyDescent="0.3">
      <c r="A2" s="59" t="s">
        <v>28</v>
      </c>
      <c r="B2" s="60" t="s">
        <v>29</v>
      </c>
      <c r="C2" s="60" t="s">
        <v>6</v>
      </c>
      <c r="D2" s="60" t="s">
        <v>111</v>
      </c>
      <c r="E2" s="60" t="s">
        <v>30</v>
      </c>
      <c r="F2" s="60" t="s">
        <v>31</v>
      </c>
      <c r="G2" s="60" t="s">
        <v>32</v>
      </c>
      <c r="H2" s="60" t="s">
        <v>33</v>
      </c>
      <c r="I2" s="61" t="s">
        <v>0</v>
      </c>
      <c r="J2" s="62" t="s">
        <v>50</v>
      </c>
      <c r="K2" s="62" t="s">
        <v>34</v>
      </c>
      <c r="L2" s="62" t="s">
        <v>35</v>
      </c>
      <c r="M2" s="62" t="s">
        <v>36</v>
      </c>
      <c r="N2" s="62" t="s">
        <v>105</v>
      </c>
      <c r="O2" s="68" t="s">
        <v>112</v>
      </c>
      <c r="P2" s="63" t="s">
        <v>109</v>
      </c>
      <c r="Q2" s="63" t="s">
        <v>106</v>
      </c>
      <c r="R2" s="71" t="s">
        <v>107</v>
      </c>
      <c r="S2" s="52" t="s">
        <v>108</v>
      </c>
      <c r="T2" s="71" t="s">
        <v>37</v>
      </c>
      <c r="U2" s="75" t="s">
        <v>110</v>
      </c>
      <c r="W2" s="9">
        <v>8</v>
      </c>
    </row>
    <row r="3" spans="1:25" ht="18" x14ac:dyDescent="0.3">
      <c r="A3" s="59"/>
      <c r="B3" s="60"/>
      <c r="C3" s="60"/>
      <c r="D3" s="60"/>
      <c r="E3" s="60"/>
      <c r="F3" s="60"/>
      <c r="G3" s="60"/>
      <c r="H3" s="60"/>
      <c r="I3" s="61"/>
      <c r="J3" s="62"/>
      <c r="K3" s="62"/>
      <c r="L3" s="62"/>
      <c r="M3" s="62"/>
      <c r="N3" s="62"/>
      <c r="O3" s="68"/>
      <c r="P3" s="63"/>
      <c r="Q3" s="63"/>
      <c r="R3" s="71"/>
      <c r="S3" s="52"/>
      <c r="T3" s="71"/>
      <c r="U3" s="75"/>
      <c r="W3" s="78"/>
    </row>
    <row r="4" spans="1:25" x14ac:dyDescent="0.3">
      <c r="A4" s="10">
        <v>1</v>
      </c>
      <c r="B4" s="10">
        <v>0</v>
      </c>
      <c r="C4" s="10" t="s">
        <v>61</v>
      </c>
      <c r="D4" s="10" t="s">
        <v>51</v>
      </c>
      <c r="E4" s="10" t="s">
        <v>60</v>
      </c>
      <c r="F4" s="10" t="s">
        <v>59</v>
      </c>
      <c r="G4" s="10">
        <v>1</v>
      </c>
      <c r="H4" s="10" t="s">
        <v>40</v>
      </c>
      <c r="I4" s="41">
        <v>44938</v>
      </c>
      <c r="J4" s="40">
        <v>12</v>
      </c>
      <c r="K4" s="40">
        <v>0</v>
      </c>
      <c r="L4" s="40">
        <v>7</v>
      </c>
      <c r="M4" s="40">
        <v>66.900000000000006</v>
      </c>
      <c r="N4" s="40">
        <v>0</v>
      </c>
      <c r="O4" s="53">
        <f>Tabela4[[#This Row],[MONTAGEM]]+Tabela4[[#This Row],[ARMAÇÃO]]+Tabela4[[#This Row],[CAIXINHA/SPRAY]]+Tabela4[[#This Row],[LENTE]]+Tabela4[[#This Row],[TAXA]]</f>
        <v>85.9</v>
      </c>
      <c r="P4" s="64">
        <v>750</v>
      </c>
      <c r="Q4" s="64">
        <v>0</v>
      </c>
      <c r="R4" s="53">
        <f>IF(Tabela4[[#This Row],[SINAL]]=0,0,Tabela4[[#This Row],[VALOR VENDA]]-Tabela4[[#This Row],[SINAL]])</f>
        <v>0</v>
      </c>
      <c r="S4" s="50">
        <f>Tabela4[[#This Row],[VALOR VENDA]]-Tabela4[[#This Row],[TAXA]]</f>
        <v>750</v>
      </c>
      <c r="T4" s="74">
        <f>Tabela4[[#This Row],[QT]]*Tabela4[[#This Row],[VALOR VENDA]]-Tabela4[[#This Row],[TOTAL CUSTO]]</f>
        <v>664.1</v>
      </c>
      <c r="U4" s="76">
        <f>IF(O4=0,0,Tabela4[[#This Row],[LUCRO]]/Tabela4[[#This Row],[TOTAL CUSTO]])</f>
        <v>7.7310826542491267</v>
      </c>
      <c r="X4" s="65"/>
    </row>
    <row r="5" spans="1:25" x14ac:dyDescent="0.3">
      <c r="A5" s="47">
        <v>2</v>
      </c>
      <c r="B5" s="47">
        <v>0</v>
      </c>
      <c r="C5" s="47">
        <v>454659</v>
      </c>
      <c r="D5" s="47" t="s">
        <v>63</v>
      </c>
      <c r="E5" s="47" t="s">
        <v>65</v>
      </c>
      <c r="F5" s="47" t="s">
        <v>66</v>
      </c>
      <c r="G5" s="47">
        <v>1</v>
      </c>
      <c r="H5" s="47" t="s">
        <v>39</v>
      </c>
      <c r="I5" s="80" t="s">
        <v>64</v>
      </c>
      <c r="J5" s="48">
        <v>12</v>
      </c>
      <c r="K5" s="48">
        <v>25</v>
      </c>
      <c r="L5" s="48">
        <v>7</v>
      </c>
      <c r="M5" s="48">
        <v>25</v>
      </c>
      <c r="N5" s="40">
        <v>0</v>
      </c>
      <c r="O5" s="49">
        <f>Tabela4[[#This Row],[MONTAGEM]]+Tabela4[[#This Row],[ARMAÇÃO]]+Tabela4[[#This Row],[CAIXINHA/SPRAY]]+Tabela4[[#This Row],[LENTE]]+Tabela4[[#This Row],[TAXA]]</f>
        <v>69</v>
      </c>
      <c r="P5" s="64">
        <v>250</v>
      </c>
      <c r="Q5" s="64">
        <v>0</v>
      </c>
      <c r="R5" s="49">
        <f>IF(Tabela4[[#This Row],[SINAL]]=0,0,Tabela4[[#This Row],[VALOR VENDA]]-Tabela4[[#This Row],[SINAL]])</f>
        <v>0</v>
      </c>
      <c r="S5" s="50">
        <f>Tabela4[[#This Row],[VALOR VENDA]]-Tabela4[[#This Row],[TAXA]]</f>
        <v>250</v>
      </c>
      <c r="T5" s="50">
        <f>Tabela4[[#This Row],[QT]]*Tabela4[[#This Row],[VALOR VENDA]]-Tabela4[[#This Row],[TOTAL CUSTO]]</f>
        <v>181</v>
      </c>
      <c r="U5" s="51">
        <f>IF(O5=0,0,Tabela4[[#This Row],[LUCRO]]/Tabela4[[#This Row],[TOTAL CUSTO]])</f>
        <v>2.6231884057971016</v>
      </c>
    </row>
    <row r="6" spans="1:25" x14ac:dyDescent="0.3">
      <c r="A6" s="47">
        <v>3</v>
      </c>
      <c r="B6" s="47">
        <v>0</v>
      </c>
      <c r="C6" s="47">
        <v>36</v>
      </c>
      <c r="D6" s="47" t="s">
        <v>67</v>
      </c>
      <c r="E6" s="47" t="s">
        <v>70</v>
      </c>
      <c r="F6" s="47" t="s">
        <v>81</v>
      </c>
      <c r="G6" s="47">
        <v>1</v>
      </c>
      <c r="H6" s="47" t="s">
        <v>40</v>
      </c>
      <c r="I6" s="80" t="s">
        <v>68</v>
      </c>
      <c r="J6" s="48">
        <v>12</v>
      </c>
      <c r="K6" s="48">
        <v>25</v>
      </c>
      <c r="L6" s="48">
        <v>7</v>
      </c>
      <c r="M6" s="48">
        <v>25</v>
      </c>
      <c r="N6" s="40">
        <v>0</v>
      </c>
      <c r="O6" s="49">
        <f>Tabela4[[#This Row],[MONTAGEM]]+Tabela4[[#This Row],[ARMAÇÃO]]+Tabela4[[#This Row],[CAIXINHA/SPRAY]]+Tabela4[[#This Row],[LENTE]]+Tabela4[[#This Row],[TAXA]]</f>
        <v>69</v>
      </c>
      <c r="P6" s="64">
        <v>399.9</v>
      </c>
      <c r="Q6" s="64">
        <v>0</v>
      </c>
      <c r="R6" s="49">
        <f>IF(Tabela4[[#This Row],[SINAL]]=0,0,Tabela4[[#This Row],[VALOR VENDA]]-Tabela4[[#This Row],[SINAL]])</f>
        <v>0</v>
      </c>
      <c r="S6" s="50">
        <f>Tabela4[[#This Row],[VALOR VENDA]]-Tabela4[[#This Row],[TAXA]]</f>
        <v>399.9</v>
      </c>
      <c r="T6" s="50">
        <f>Tabela4[[#This Row],[QT]]*Tabela4[[#This Row],[VALOR VENDA]]-Tabela4[[#This Row],[TOTAL CUSTO]]</f>
        <v>330.9</v>
      </c>
      <c r="U6" s="51">
        <f>IF(O6=0,0,Tabela4[[#This Row],[LUCRO]]/Tabela4[[#This Row],[TOTAL CUSTO]])</f>
        <v>4.7956521739130435</v>
      </c>
    </row>
    <row r="7" spans="1:25" x14ac:dyDescent="0.3">
      <c r="A7" s="47">
        <v>4</v>
      </c>
      <c r="B7" s="47">
        <v>0</v>
      </c>
      <c r="C7" s="47">
        <v>37</v>
      </c>
      <c r="D7" s="47" t="s">
        <v>73</v>
      </c>
      <c r="E7" s="47" t="s">
        <v>79</v>
      </c>
      <c r="F7" s="47" t="s">
        <v>80</v>
      </c>
      <c r="G7" s="47">
        <v>1</v>
      </c>
      <c r="H7" s="47" t="s">
        <v>38</v>
      </c>
      <c r="I7" s="80" t="s">
        <v>74</v>
      </c>
      <c r="J7" s="48">
        <v>12</v>
      </c>
      <c r="K7" s="48">
        <v>25</v>
      </c>
      <c r="L7" s="48">
        <v>7</v>
      </c>
      <c r="M7" s="48">
        <v>0</v>
      </c>
      <c r="N7" s="40">
        <v>21.88</v>
      </c>
      <c r="O7" s="49">
        <f>Tabela4[[#This Row],[MONTAGEM]]+Tabela4[[#This Row],[ARMAÇÃO]]+Tabela4[[#This Row],[CAIXINHA/SPRAY]]+Tabela4[[#This Row],[LENTE]]+Tabela4[[#This Row],[TAXA]]</f>
        <v>65.88</v>
      </c>
      <c r="P7" s="64">
        <v>400</v>
      </c>
      <c r="Q7" s="64">
        <v>0</v>
      </c>
      <c r="R7" s="49">
        <f>IF(Tabela4[[#This Row],[SINAL]]=0,0,Tabela4[[#This Row],[VALOR VENDA]]-Tabela4[[#This Row],[SINAL]])</f>
        <v>0</v>
      </c>
      <c r="S7" s="50">
        <f>Tabela4[[#This Row],[VALOR VENDA]]-Tabela4[[#This Row],[TAXA]]</f>
        <v>378.12</v>
      </c>
      <c r="T7" s="50">
        <f>Tabela4[[#This Row],[QT]]*Tabela4[[#This Row],[VALOR VENDA]]-Tabela4[[#This Row],[TOTAL CUSTO]]</f>
        <v>334.12</v>
      </c>
      <c r="U7" s="51">
        <f>IF(O7=0,0,Tabela4[[#This Row],[LUCRO]]/Tabela4[[#This Row],[TOTAL CUSTO]])</f>
        <v>5.0716454159077111</v>
      </c>
    </row>
    <row r="8" spans="1:25" x14ac:dyDescent="0.3">
      <c r="A8" s="47">
        <v>5</v>
      </c>
      <c r="B8" s="47">
        <v>0</v>
      </c>
      <c r="C8" s="47">
        <v>38</v>
      </c>
      <c r="D8" s="47" t="s">
        <v>86</v>
      </c>
      <c r="E8" s="47" t="s">
        <v>85</v>
      </c>
      <c r="F8" s="47" t="s">
        <v>87</v>
      </c>
      <c r="G8" s="47">
        <v>1</v>
      </c>
      <c r="H8" s="47" t="s">
        <v>38</v>
      </c>
      <c r="I8" s="80" t="s">
        <v>82</v>
      </c>
      <c r="J8" s="48">
        <v>12</v>
      </c>
      <c r="K8" s="48">
        <v>25</v>
      </c>
      <c r="L8" s="48">
        <v>7</v>
      </c>
      <c r="M8" s="48">
        <v>25</v>
      </c>
      <c r="N8" s="40">
        <v>0</v>
      </c>
      <c r="O8" s="49">
        <f>Tabela4[[#This Row],[MONTAGEM]]+Tabela4[[#This Row],[ARMAÇÃO]]+Tabela4[[#This Row],[CAIXINHA/SPRAY]]+Tabela4[[#This Row],[LENTE]]+Tabela4[[#This Row],[TAXA]]</f>
        <v>69</v>
      </c>
      <c r="P8" s="64">
        <v>260</v>
      </c>
      <c r="Q8" s="64">
        <v>0</v>
      </c>
      <c r="R8" s="49">
        <f>IF(Tabela4[[#This Row],[SINAL]]=0,0,Tabela4[[#This Row],[VALOR VENDA]]-Tabela4[[#This Row],[SINAL]])</f>
        <v>0</v>
      </c>
      <c r="S8" s="50">
        <f>Tabela4[[#This Row],[VALOR VENDA]]-Tabela4[[#This Row],[TAXA]]</f>
        <v>260</v>
      </c>
      <c r="T8" s="50">
        <f>Tabela4[[#This Row],[QT]]*Tabela4[[#This Row],[VALOR VENDA]]-Tabela4[[#This Row],[TOTAL CUSTO]]</f>
        <v>191</v>
      </c>
      <c r="U8" s="51">
        <f>IF(O8=0,0,Tabela4[[#This Row],[LUCRO]]/Tabela4[[#This Row],[TOTAL CUSTO]])</f>
        <v>2.7681159420289854</v>
      </c>
    </row>
    <row r="9" spans="1:25" x14ac:dyDescent="0.3">
      <c r="A9" s="47">
        <v>6</v>
      </c>
      <c r="B9" s="47">
        <v>0</v>
      </c>
      <c r="C9" s="47">
        <v>34</v>
      </c>
      <c r="D9" s="47" t="s">
        <v>90</v>
      </c>
      <c r="E9" s="47" t="s">
        <v>96</v>
      </c>
      <c r="F9" s="47" t="s">
        <v>98</v>
      </c>
      <c r="G9" s="47">
        <v>1</v>
      </c>
      <c r="H9" s="47" t="s">
        <v>38</v>
      </c>
      <c r="I9" s="80" t="s">
        <v>93</v>
      </c>
      <c r="J9" s="48">
        <v>12</v>
      </c>
      <c r="K9" s="48">
        <v>25</v>
      </c>
      <c r="L9" s="48">
        <v>7</v>
      </c>
      <c r="M9" s="48">
        <v>119</v>
      </c>
      <c r="N9" s="40">
        <v>40.950000000000003</v>
      </c>
      <c r="O9" s="49">
        <f>Tabela4[[#This Row],[MONTAGEM]]+Tabela4[[#This Row],[ARMAÇÃO]]+Tabela4[[#This Row],[CAIXINHA/SPRAY]]+Tabela4[[#This Row],[LENTE]]+Tabela4[[#This Row],[TAXA]]</f>
        <v>203.95</v>
      </c>
      <c r="P9" s="64">
        <v>750</v>
      </c>
      <c r="Q9" s="64">
        <v>0</v>
      </c>
      <c r="R9" s="49">
        <f>IF(Tabela4[[#This Row],[SINAL]]=0,0,Tabela4[[#This Row],[VALOR VENDA]]-Tabela4[[#This Row],[SINAL]])</f>
        <v>0</v>
      </c>
      <c r="S9" s="50">
        <f>Tabela4[[#This Row],[VALOR VENDA]]-Tabela4[[#This Row],[TAXA]]</f>
        <v>709.05</v>
      </c>
      <c r="T9" s="50">
        <f>Tabela4[[#This Row],[QT]]*Tabela4[[#This Row],[VALOR VENDA]]-Tabela4[[#This Row],[TOTAL CUSTO]]</f>
        <v>546.04999999999995</v>
      </c>
      <c r="U9" s="51">
        <f>IF(O9=0,0,Tabela4[[#This Row],[LUCRO]]/Tabela4[[#This Row],[TOTAL CUSTO]])</f>
        <v>2.6773719048786466</v>
      </c>
    </row>
    <row r="10" spans="1:25" x14ac:dyDescent="0.3">
      <c r="A10" s="47">
        <v>7</v>
      </c>
      <c r="B10" s="47">
        <v>0</v>
      </c>
      <c r="C10" s="47" t="s">
        <v>100</v>
      </c>
      <c r="D10" s="4" t="s">
        <v>99</v>
      </c>
      <c r="E10" s="47" t="s">
        <v>102</v>
      </c>
      <c r="F10" s="47" t="s">
        <v>103</v>
      </c>
      <c r="G10" s="47">
        <v>1</v>
      </c>
      <c r="H10" s="47" t="s">
        <v>40</v>
      </c>
      <c r="I10" s="80" t="s">
        <v>93</v>
      </c>
      <c r="J10" s="48">
        <v>12</v>
      </c>
      <c r="K10" s="48">
        <v>25</v>
      </c>
      <c r="L10" s="48">
        <v>7</v>
      </c>
      <c r="M10" s="48">
        <v>119</v>
      </c>
      <c r="N10" s="40">
        <v>0</v>
      </c>
      <c r="O10" s="49">
        <f>Tabela4[[#This Row],[MONTAGEM]]+Tabela4[[#This Row],[ARMAÇÃO]]+Tabela4[[#This Row],[CAIXINHA/SPRAY]]+Tabela4[[#This Row],[LENTE]]+Tabela4[[#This Row],[TAXA]]</f>
        <v>163</v>
      </c>
      <c r="P10" s="64">
        <v>750</v>
      </c>
      <c r="Q10" s="64">
        <v>0</v>
      </c>
      <c r="R10" s="49">
        <f>IF(Tabela4[[#This Row],[SINAL]]=0,0,Tabela4[[#This Row],[VALOR VENDA]]-Tabela4[[#This Row],[SINAL]])</f>
        <v>0</v>
      </c>
      <c r="S10" s="50">
        <f>Tabela4[[#This Row],[VALOR VENDA]]-Tabela4[[#This Row],[TAXA]]</f>
        <v>750</v>
      </c>
      <c r="T10" s="50">
        <f>Tabela4[[#This Row],[QT]]*Tabela4[[#This Row],[VALOR VENDA]]-Tabela4[[#This Row],[TOTAL CUSTO]]</f>
        <v>587</v>
      </c>
      <c r="U10" s="51">
        <f>IF(O10=0,0,Tabela4[[#This Row],[LUCRO]]/Tabela4[[#This Row],[TOTAL CUSTO]])</f>
        <v>3.6012269938650308</v>
      </c>
    </row>
    <row r="11" spans="1:25" x14ac:dyDescent="0.3">
      <c r="A11" s="47"/>
      <c r="B11" s="47"/>
      <c r="C11" s="47"/>
      <c r="D11" s="47"/>
      <c r="E11" s="47"/>
      <c r="F11" s="47"/>
      <c r="G11" s="47"/>
      <c r="H11" s="47"/>
      <c r="I11" s="80"/>
      <c r="J11" s="48"/>
      <c r="K11" s="48"/>
      <c r="L11" s="48"/>
      <c r="M11" s="48"/>
      <c r="N11" s="40"/>
      <c r="O11" s="49">
        <f>Tabela4[[#This Row],[MONTAGEM]]+Tabela4[[#This Row],[ARMAÇÃO]]+Tabela4[[#This Row],[CAIXINHA/SPRAY]]+Tabela4[[#This Row],[LENTE]]+Tabela4[[#This Row],[TAXA]]</f>
        <v>0</v>
      </c>
      <c r="P11" s="64"/>
      <c r="Q11" s="77"/>
      <c r="R11" s="49">
        <f>IF(Tabela4[[#This Row],[SINAL]]=0,0,Tabela4[[#This Row],[VALOR VENDA]]-Tabela4[[#This Row],[SINAL]])</f>
        <v>0</v>
      </c>
      <c r="S11" s="50">
        <f>Tabela4[[#This Row],[VALOR VENDA]]-Tabela4[[#This Row],[TAXA]]</f>
        <v>0</v>
      </c>
      <c r="T11" s="50">
        <f>Tabela4[[#This Row],[QT]]*Tabela4[[#This Row],[VALOR VENDA]]-Tabela4[[#This Row],[TOTAL CUSTO]]</f>
        <v>0</v>
      </c>
      <c r="U11" s="51">
        <f>IF(O11=0,0,Tabela4[[#This Row],[LUCRO]]/Tabela4[[#This Row],[TOTAL CUSTO]])</f>
        <v>0</v>
      </c>
    </row>
    <row r="12" spans="1:25" x14ac:dyDescent="0.3">
      <c r="O12" s="69"/>
      <c r="P12" s="42"/>
      <c r="Q12" s="42"/>
      <c r="R12" s="69"/>
    </row>
    <row r="13" spans="1:25" x14ac:dyDescent="0.3">
      <c r="O13" s="69"/>
      <c r="P13" s="42"/>
      <c r="Q13" s="42"/>
      <c r="R13" s="69"/>
    </row>
    <row r="14" spans="1:25" x14ac:dyDescent="0.3">
      <c r="O14" s="69"/>
      <c r="P14" s="42"/>
      <c r="Q14" s="42"/>
      <c r="R14" s="69"/>
    </row>
    <row r="15" spans="1:25" x14ac:dyDescent="0.3">
      <c r="N15" s="66"/>
      <c r="O15" s="69"/>
      <c r="P15" s="42"/>
      <c r="Q15" s="42"/>
      <c r="R15" s="69"/>
    </row>
    <row r="16" spans="1:25" x14ac:dyDescent="0.3">
      <c r="O16" s="69"/>
      <c r="P16" s="42"/>
      <c r="Q16" s="42"/>
      <c r="R16" s="69"/>
    </row>
    <row r="17" spans="15:18" x14ac:dyDescent="0.3">
      <c r="O17" s="69"/>
      <c r="P17" s="42"/>
      <c r="Q17" s="42"/>
      <c r="R17" s="69"/>
    </row>
    <row r="18" spans="15:18" x14ac:dyDescent="0.3">
      <c r="O18" s="69"/>
      <c r="P18" s="42"/>
      <c r="Q18" s="42"/>
      <c r="R18" s="69"/>
    </row>
    <row r="19" spans="15:18" x14ac:dyDescent="0.3">
      <c r="O19" s="69"/>
      <c r="P19" s="42"/>
      <c r="Q19" s="42"/>
      <c r="R19" s="69"/>
    </row>
    <row r="20" spans="15:18" x14ac:dyDescent="0.3">
      <c r="O20" s="69"/>
      <c r="P20" s="42"/>
      <c r="Q20" s="42"/>
      <c r="R20" s="69"/>
    </row>
  </sheetData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/>
  </sheetViews>
  <sheetFormatPr defaultColWidth="8.88671875" defaultRowHeight="14.4" x14ac:dyDescent="0.3"/>
  <cols>
    <col min="1" max="16384" width="8.88671875" style="32"/>
  </cols>
  <sheetData>
    <row r="1" spans="1:26" s="11" customFormat="1" ht="49.95" customHeight="1" x14ac:dyDescent="0.3">
      <c r="A1" s="26"/>
      <c r="B1" s="27"/>
      <c r="C1" s="27"/>
      <c r="D1" s="27"/>
      <c r="E1" s="27"/>
      <c r="F1" s="93" t="s">
        <v>49</v>
      </c>
      <c r="G1" s="93"/>
      <c r="H1" s="93"/>
      <c r="I1" s="93"/>
      <c r="J1" s="93"/>
      <c r="K1" s="27"/>
      <c r="L1" s="27"/>
      <c r="M1" s="27"/>
      <c r="N1" s="27"/>
      <c r="O1" s="27"/>
      <c r="P1" s="28"/>
      <c r="Q1" s="28"/>
      <c r="R1" s="28"/>
      <c r="S1" s="29"/>
      <c r="T1" s="27"/>
      <c r="U1" s="30"/>
      <c r="V1" s="27"/>
      <c r="W1" s="31"/>
      <c r="X1" s="13"/>
      <c r="Y1" s="13"/>
      <c r="Z1" s="13"/>
    </row>
  </sheetData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K10" sqref="K10"/>
    </sheetView>
  </sheetViews>
  <sheetFormatPr defaultColWidth="8.88671875" defaultRowHeight="14.4" x14ac:dyDescent="0.3"/>
  <cols>
    <col min="1" max="1" width="20" style="16" customWidth="1"/>
    <col min="2" max="2" width="6.33203125" style="16" customWidth="1"/>
    <col min="3" max="3" width="13.44140625" style="16" customWidth="1"/>
    <col min="4" max="4" width="9" style="45" customWidth="1"/>
    <col min="5" max="5" width="8.88671875" style="45"/>
    <col min="6" max="16384" width="8.88671875" style="16"/>
  </cols>
  <sheetData>
    <row r="1" spans="1:5" ht="31.2" customHeight="1" x14ac:dyDescent="0.3">
      <c r="A1" s="38" t="s">
        <v>33</v>
      </c>
      <c r="B1" s="15" t="s">
        <v>46</v>
      </c>
      <c r="C1" s="15" t="s">
        <v>48</v>
      </c>
      <c r="D1" s="43" t="s">
        <v>37</v>
      </c>
      <c r="E1" s="43" t="s">
        <v>47</v>
      </c>
    </row>
    <row r="2" spans="1:5" x14ac:dyDescent="0.3">
      <c r="A2" s="39" t="s">
        <v>40</v>
      </c>
      <c r="B2" s="17">
        <v>1</v>
      </c>
      <c r="C2" s="18" t="str">
        <f>IF(B2=1,"janeiro","")</f>
        <v>janeiro</v>
      </c>
      <c r="D2" s="44">
        <f>SUMPRODUCT((MONTH(Tabela4[DATA])=B2)*(Tabela4[LUCRO]))</f>
        <v>2834.17</v>
      </c>
      <c r="E2" s="44">
        <f>SUMPRODUCT((MONTH(Tabela4[DATA])=B2)*(Tabela4[TOTAL CUSTO]))</f>
        <v>725.73</v>
      </c>
    </row>
    <row r="3" spans="1:5" x14ac:dyDescent="0.3">
      <c r="A3" s="39" t="s">
        <v>39</v>
      </c>
      <c r="B3" s="17">
        <v>2</v>
      </c>
      <c r="C3" s="18" t="str">
        <f>IF(B3=2,"Fevereiro","")</f>
        <v>Fevereiro</v>
      </c>
      <c r="D3" s="44">
        <f>SUMPRODUCT((MONTH(Tabela4[DATA])=B3)*(Tabela4[LUCRO]))</f>
        <v>0</v>
      </c>
      <c r="E3" s="44">
        <f>SUMPRODUCT((MONTH(Tabela4[DATA])=B3)*(Tabela4[TOTAL CUSTO]))</f>
        <v>0</v>
      </c>
    </row>
    <row r="4" spans="1:5" x14ac:dyDescent="0.3">
      <c r="A4" s="39" t="s">
        <v>38</v>
      </c>
      <c r="B4" s="17">
        <v>3</v>
      </c>
      <c r="C4" s="18" t="str">
        <f>IF(B4=3,"Março","")</f>
        <v>Março</v>
      </c>
      <c r="D4" s="44">
        <f>SUMPRODUCT((MONTH(Tabela4[DATA])=B4)*(Tabela4[LUCRO]))</f>
        <v>0</v>
      </c>
      <c r="E4" s="44">
        <f>SUMPRODUCT((MONTH(Tabela4[DATA])=B4)*(Tabela4[TOTAL CUSTO]))</f>
        <v>0</v>
      </c>
    </row>
    <row r="5" spans="1:5" x14ac:dyDescent="0.3">
      <c r="A5" s="39" t="s">
        <v>41</v>
      </c>
      <c r="B5" s="17">
        <v>4</v>
      </c>
      <c r="C5" s="18" t="str">
        <f>IF(B5=4,"Abril","")</f>
        <v>Abril</v>
      </c>
      <c r="D5" s="44">
        <f>SUMPRODUCT((MONTH(Tabela4[DATA])=B5)*(Tabela4[LUCRO]))</f>
        <v>0</v>
      </c>
      <c r="E5" s="44">
        <f>SUMPRODUCT((MONTH(Tabela4[DATA])=B5)*(Tabela4[TOTAL CUSTO]))</f>
        <v>0</v>
      </c>
    </row>
    <row r="6" spans="1:5" x14ac:dyDescent="0.3">
      <c r="B6" s="17">
        <v>5</v>
      </c>
      <c r="C6" s="18" t="str">
        <f>IF(B6=5,"Maio","")</f>
        <v>Maio</v>
      </c>
      <c r="D6" s="44">
        <f>SUMPRODUCT((MONTH(Tabela4[DATA])=B6)*(Tabela4[LUCRO]))</f>
        <v>0</v>
      </c>
      <c r="E6" s="44">
        <f>SUMPRODUCT((MONTH(Tabela4[DATA])=B6)*(Tabela4[TOTAL CUSTO]))</f>
        <v>0</v>
      </c>
    </row>
    <row r="7" spans="1:5" x14ac:dyDescent="0.3">
      <c r="B7" s="17">
        <v>6</v>
      </c>
      <c r="C7" s="18" t="str">
        <f>IF(B7=6,"Junho","")</f>
        <v>Junho</v>
      </c>
      <c r="D7" s="44">
        <f>SUMPRODUCT((MONTH(Tabela4[DATA])=B7)*(Tabela4[LUCRO]))</f>
        <v>0</v>
      </c>
      <c r="E7" s="44">
        <f>SUMPRODUCT((MONTH(Tabela4[DATA])=B7)*(Tabela4[TOTAL CUSTO]))</f>
        <v>0</v>
      </c>
    </row>
    <row r="8" spans="1:5" x14ac:dyDescent="0.3">
      <c r="B8" s="17">
        <v>7</v>
      </c>
      <c r="C8" s="18" t="str">
        <f>IF(B8=7,"Julho","")</f>
        <v>Julho</v>
      </c>
      <c r="D8" s="44">
        <f>SUMPRODUCT((MONTH(Tabela4[DATA])=B8)*(Tabela4[LUCRO]))</f>
        <v>0</v>
      </c>
      <c r="E8" s="44">
        <f>SUMPRODUCT((MONTH(Tabela4[DATA])=B8)*(Tabela4[TOTAL CUSTO]))</f>
        <v>0</v>
      </c>
    </row>
    <row r="9" spans="1:5" x14ac:dyDescent="0.3">
      <c r="B9" s="17">
        <v>8</v>
      </c>
      <c r="C9" s="18" t="str">
        <f>IF(B9=8,"Agosto","")</f>
        <v>Agosto</v>
      </c>
      <c r="D9" s="44">
        <f>SUMPRODUCT((MONTH(Tabela4[DATA])=B9)*(Tabela4[LUCRO]))</f>
        <v>0</v>
      </c>
      <c r="E9" s="44">
        <f>SUMPRODUCT((MONTH(Tabela4[DATA])=B9)*(Tabela4[TOTAL CUSTO]))</f>
        <v>0</v>
      </c>
    </row>
    <row r="10" spans="1:5" x14ac:dyDescent="0.3">
      <c r="B10" s="17">
        <v>9</v>
      </c>
      <c r="C10" s="18" t="str">
        <f>IF(B10=9,"Setembro","")</f>
        <v>Setembro</v>
      </c>
      <c r="D10" s="44">
        <f>SUMPRODUCT((MONTH(Tabela4[DATA])=B10)*(Tabela4[LUCRO]))</f>
        <v>0</v>
      </c>
      <c r="E10" s="44">
        <f>SUMPRODUCT((MONTH(Tabela4[DATA])=B10)*(Tabela4[TOTAL CUSTO]))</f>
        <v>0</v>
      </c>
    </row>
    <row r="11" spans="1:5" x14ac:dyDescent="0.3">
      <c r="B11" s="17">
        <v>10</v>
      </c>
      <c r="C11" s="18" t="str">
        <f>IF(B11=10,"Outubro","")</f>
        <v>Outubro</v>
      </c>
      <c r="D11" s="44">
        <f>SUMPRODUCT((MONTH(Tabela4[DATA])=B11)*(Tabela4[LUCRO]))</f>
        <v>0</v>
      </c>
      <c r="E11" s="44">
        <f>SUMPRODUCT((MONTH(Tabela4[DATA])=B11)*(Tabela4[TOTAL CUSTO]))</f>
        <v>0</v>
      </c>
    </row>
    <row r="12" spans="1:5" x14ac:dyDescent="0.3">
      <c r="B12" s="17">
        <v>11</v>
      </c>
      <c r="C12" s="18" t="str">
        <f>IF(B12=11,"Novembro","")</f>
        <v>Novembro</v>
      </c>
      <c r="D12" s="44">
        <f>SUMPRODUCT((MONTH(Tabela4[DATA])=B12)*(Tabela4[LUCRO]))</f>
        <v>0</v>
      </c>
      <c r="E12" s="44">
        <f>SUMPRODUCT((MONTH(Tabela4[DATA])=B12)*(Tabela4[TOTAL CUSTO]))</f>
        <v>0</v>
      </c>
    </row>
    <row r="13" spans="1:5" x14ac:dyDescent="0.3">
      <c r="B13" s="17">
        <v>12</v>
      </c>
      <c r="C13" s="18" t="str">
        <f>IF(B13=12,"Dezembro","")</f>
        <v>Dezembro</v>
      </c>
      <c r="D13" s="44">
        <f>SUMPRODUCT((MONTH(Tabela4[DATA])=B13)*(Tabela4[LUCRO]))</f>
        <v>0</v>
      </c>
      <c r="E13" s="44">
        <f>SUMPRODUCT((MONTH(Tabela4[DATA])=B13)*(Tabela4[TOTAL CUSTO]))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2023-01-28T13:33:02Z</dcterms:modified>
</cp:coreProperties>
</file>