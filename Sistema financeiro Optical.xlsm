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F187D344-AC7A-492A-837B-64C14A8A14F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VENDAS'!#REF!,0,0,COUNT('DADOS VENDAS'!$O:$O),1)</definedName>
    <definedName name="graficoVendas_data">OFFSET('DADOS VENDAS'!#REF!,0,0,COUNT('DADOS VENDAS'!$T:$T),1)</definedName>
    <definedName name="graficoVendas_lucro">OFFSET('DADOS VENDAS'!#REF!,0,0,COUNT('DADOS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<sst xmlns="http://schemas.openxmlformats.org/spreadsheetml/2006/main" count="71" uniqueCount="64">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</sst>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[0]!graficoVendas_lucro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[0]!graficoVendas_data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[0]!graficoVendas_custo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[0]!graficoVendas_data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4" totalsRowShown="0" headerRowDxfId="25" dataDxfId="23" headerRowBorderDxfId="24" tableBorderDxfId="22" totalsRowBorderDxfId="21">
  <autoFilter ref="A2:U4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27"/>
  </cols>
  <sheetData>
    <row r="1" spans="1:22" ht="70.2" customHeight="1" x14ac:dyDescent="0.3">
      <c r="A1" s="91" t="s">
        <v>33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</row>
    <row r="2" spans="1:22" x14ac:dyDescent="0.3">
      <c r="A2" s="28"/>
      <c r="V2" s="29"/>
    </row>
    <row r="3" spans="1:22" x14ac:dyDescent="0.3">
      <c r="A3" s="28"/>
      <c r="V3" s="29"/>
    </row>
    <row r="4" spans="1:22" x14ac:dyDescent="0.3">
      <c r="A4" s="28"/>
      <c r="V4" s="29"/>
    </row>
    <row r="5" spans="1:22" x14ac:dyDescent="0.3">
      <c r="A5" s="28"/>
      <c r="V5" s="29"/>
    </row>
    <row r="6" spans="1:22" x14ac:dyDescent="0.3">
      <c r="A6" s="28"/>
      <c r="V6" s="29"/>
    </row>
    <row r="7" spans="1:22" x14ac:dyDescent="0.3">
      <c r="A7" s="28"/>
      <c r="V7" s="29"/>
    </row>
    <row r="8" spans="1:22" x14ac:dyDescent="0.3">
      <c r="A8" s="28"/>
      <c r="V8" s="29"/>
    </row>
    <row r="9" spans="1:22" x14ac:dyDescent="0.3">
      <c r="A9" s="28"/>
      <c r="V9" s="29"/>
    </row>
    <row r="10" spans="1:22" x14ac:dyDescent="0.3">
      <c r="A10" s="28"/>
      <c r="V10" s="29"/>
    </row>
    <row r="11" spans="1:22" x14ac:dyDescent="0.3">
      <c r="A11" s="28"/>
      <c r="V11" s="29"/>
    </row>
    <row r="12" spans="1:22" x14ac:dyDescent="0.3">
      <c r="A12" s="28"/>
      <c r="V12" s="29"/>
    </row>
    <row r="13" spans="1:22" x14ac:dyDescent="0.3">
      <c r="A13" s="28"/>
      <c r="V13" s="29"/>
    </row>
    <row r="14" spans="1:22" x14ac:dyDescent="0.3">
      <c r="A14" s="28"/>
      <c r="I14" s="7"/>
      <c r="V14" s="29"/>
    </row>
    <row r="15" spans="1:22" x14ac:dyDescent="0.3">
      <c r="A15" s="28"/>
      <c r="V15" s="29"/>
    </row>
    <row r="16" spans="1:22" x14ac:dyDescent="0.3">
      <c r="A16" s="28"/>
      <c r="V16" s="29"/>
    </row>
    <row r="17" spans="1:22" x14ac:dyDescent="0.3">
      <c r="A17" s="28"/>
      <c r="V17" s="29"/>
    </row>
    <row r="18" spans="1:22" x14ac:dyDescent="0.3">
      <c r="A18" s="28"/>
      <c r="V18" s="29"/>
    </row>
    <row r="19" spans="1:22" x14ac:dyDescent="0.3">
      <c r="A19" s="28"/>
      <c r="V19" s="29"/>
    </row>
    <row r="20" spans="1:22" x14ac:dyDescent="0.3">
      <c r="A20" s="28"/>
      <c r="V20" s="29"/>
    </row>
    <row r="21" spans="1:22" x14ac:dyDescent="0.3">
      <c r="A21" s="28"/>
      <c r="V21" s="29"/>
    </row>
    <row r="22" spans="1:22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2"/>
    </row>
    <row r="23" spans="1:22" ht="40.200000000000003" customHeight="1" x14ac:dyDescent="0.3">
      <c r="A23" s="92" t="s">
        <v>30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4" customWidth="1"/>
    <col min="4" max="5" width="25.6640625" style="1" customWidth="1"/>
    <col min="6" max="6" width="26.33203125" style="1" customWidth="1"/>
    <col min="7" max="7" width="21" style="64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5" customWidth="1"/>
    <col min="15" max="29" width="15.6640625" style="70" customWidth="1"/>
    <col min="30" max="30" width="17" style="70" customWidth="1"/>
    <col min="31" max="34" width="15.6640625" style="70" customWidth="1"/>
    <col min="35" max="35" width="2.88671875" style="1" customWidth="1"/>
    <col min="36" max="16384" width="8.88671875" style="1"/>
  </cols>
  <sheetData>
    <row r="1" spans="1:36" s="7" customFormat="1" ht="49.95" customHeight="1" x14ac:dyDescent="0.3">
      <c r="A1" s="8"/>
      <c r="B1" s="8"/>
      <c r="C1" s="61"/>
      <c r="D1" s="8"/>
      <c r="E1" s="93" t="s">
        <v>31</v>
      </c>
      <c r="F1" s="94"/>
      <c r="G1" s="94"/>
      <c r="H1" s="94"/>
      <c r="I1" s="15"/>
      <c r="J1" s="15"/>
      <c r="K1" s="15"/>
      <c r="L1" s="15"/>
      <c r="M1" s="8"/>
      <c r="N1" s="60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J1" s="10" t="s">
        <v>16</v>
      </c>
    </row>
    <row r="2" spans="1:36" s="20" customFormat="1" ht="18" x14ac:dyDescent="0.3">
      <c r="A2" s="16" t="s">
        <v>16</v>
      </c>
      <c r="B2" s="17" t="s">
        <v>1</v>
      </c>
      <c r="C2" s="62" t="s">
        <v>6</v>
      </c>
      <c r="D2" s="17" t="s">
        <v>7</v>
      </c>
      <c r="E2" s="17" t="s">
        <v>2</v>
      </c>
      <c r="F2" s="17" t="s">
        <v>3</v>
      </c>
      <c r="G2" s="62" t="s">
        <v>47</v>
      </c>
      <c r="H2" s="17" t="s">
        <v>4</v>
      </c>
      <c r="I2" s="17" t="s">
        <v>48</v>
      </c>
      <c r="J2" s="17" t="s">
        <v>49</v>
      </c>
      <c r="K2" s="17" t="s">
        <v>50</v>
      </c>
      <c r="L2" s="17" t="s">
        <v>51</v>
      </c>
      <c r="M2" s="17" t="s">
        <v>5</v>
      </c>
      <c r="N2" s="18" t="s">
        <v>0</v>
      </c>
      <c r="O2" s="67" t="s">
        <v>8</v>
      </c>
      <c r="P2" s="67" t="s">
        <v>53</v>
      </c>
      <c r="Q2" s="67" t="s">
        <v>9</v>
      </c>
      <c r="R2" s="67" t="s">
        <v>10</v>
      </c>
      <c r="S2" s="67" t="s">
        <v>11</v>
      </c>
      <c r="T2" s="67" t="s">
        <v>12</v>
      </c>
      <c r="U2" s="67" t="s">
        <v>13</v>
      </c>
      <c r="V2" s="67" t="s">
        <v>52</v>
      </c>
      <c r="W2" s="67" t="s">
        <v>14</v>
      </c>
      <c r="X2" s="67" t="s">
        <v>54</v>
      </c>
      <c r="Y2" s="67" t="s">
        <v>55</v>
      </c>
      <c r="Z2" s="67" t="s">
        <v>15</v>
      </c>
      <c r="AA2" s="67" t="s">
        <v>56</v>
      </c>
      <c r="AB2" s="67" t="s">
        <v>61</v>
      </c>
      <c r="AC2" s="67" t="s">
        <v>57</v>
      </c>
      <c r="AD2" s="67" t="s">
        <v>63</v>
      </c>
      <c r="AE2" s="67" t="s">
        <v>58</v>
      </c>
      <c r="AF2" s="67" t="s">
        <v>59</v>
      </c>
      <c r="AG2" s="67" t="s">
        <v>60</v>
      </c>
      <c r="AH2" s="67" t="s">
        <v>62</v>
      </c>
      <c r="AI2" s="19"/>
      <c r="AJ2" s="6">
        <v>2</v>
      </c>
    </row>
    <row r="3" spans="1:36" s="20" customFormat="1" ht="18" x14ac:dyDescent="0.3">
      <c r="A3" s="16">
        <v>1</v>
      </c>
      <c r="B3" s="17"/>
      <c r="C3" s="62"/>
      <c r="D3" s="17"/>
      <c r="E3" s="17"/>
      <c r="F3" s="17"/>
      <c r="G3" s="62"/>
      <c r="H3" s="17"/>
      <c r="I3" s="17"/>
      <c r="J3" s="17"/>
      <c r="K3" s="17"/>
      <c r="L3" s="17"/>
      <c r="M3" s="17"/>
      <c r="N3" s="18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59"/>
      <c r="AJ3" s="58"/>
    </row>
    <row r="4" spans="1:36" x14ac:dyDescent="0.3">
      <c r="A4" s="3"/>
      <c r="B4" s="4"/>
      <c r="C4" s="63"/>
      <c r="D4" s="3"/>
      <c r="E4" s="4"/>
      <c r="F4" s="4"/>
      <c r="G4" s="63"/>
      <c r="H4" s="3"/>
      <c r="I4" s="4"/>
      <c r="J4" s="4"/>
      <c r="K4" s="4"/>
      <c r="L4" s="4"/>
      <c r="M4" s="4"/>
      <c r="N4" s="65"/>
      <c r="O4" s="69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</row>
  </sheetData>
  <sheetProtection algorithmName="SHA-512" hashValue="JKhj8N8Nqe2KnXFYe6iYhuNS27DzdNw/0cJOqEqRZEmRkxVcErIJL1mv6djrmfIJt5vLV34S6e33MxvAJnkSyw==" saltValue="ymLemWSqC1V8pVrWkamF9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3"/>
  <sheetViews>
    <sheetView showGridLines="0" showRowColHeaders="0" zoomScaleNormal="100" workbookViewId="0">
      <pane ySplit="2" topLeftCell="A3" activePane="bottomLeft" state="frozen"/>
      <selection pane="bottomLeft" activeCell="X11" sqref="X11"/>
    </sheetView>
  </sheetViews>
  <sheetFormatPr defaultColWidth="8.88671875" defaultRowHeight="14.4" x14ac:dyDescent="0.3"/>
  <cols>
    <col min="1" max="1" width="7.77734375" style="1" bestFit="1" customWidth="1"/>
    <col min="2" max="2" width="16" style="64" customWidth="1"/>
    <col min="3" max="3" width="12.77734375" style="64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5" customWidth="1"/>
    <col min="10" max="14" width="12.77734375" style="2" customWidth="1"/>
    <col min="15" max="15" width="15.6640625" style="53" customWidth="1"/>
    <col min="16" max="17" width="15.6640625" style="2" customWidth="1"/>
    <col min="18" max="18" width="15.6640625" style="53" customWidth="1"/>
    <col min="19" max="19" width="15.6640625" style="56" customWidth="1"/>
    <col min="20" max="20" width="15.6640625" style="53" customWidth="1"/>
    <col min="21" max="21" width="15.6640625" style="56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40"/>
      <c r="B1" s="77"/>
      <c r="C1" s="77"/>
      <c r="D1" s="40"/>
      <c r="E1" s="95" t="s">
        <v>32</v>
      </c>
      <c r="F1" s="95"/>
      <c r="G1" s="95"/>
      <c r="H1" s="95"/>
      <c r="I1" s="95"/>
      <c r="J1" s="41"/>
      <c r="K1" s="41"/>
      <c r="L1" s="41"/>
      <c r="M1" s="41"/>
      <c r="N1" s="41"/>
      <c r="O1" s="51"/>
      <c r="P1" s="42"/>
      <c r="Q1" s="42"/>
      <c r="R1" s="51"/>
      <c r="S1" s="55"/>
      <c r="T1" s="51"/>
      <c r="U1" s="55"/>
      <c r="V1" s="43"/>
      <c r="W1" s="44" t="s">
        <v>16</v>
      </c>
      <c r="X1" s="43"/>
      <c r="Y1" s="43"/>
    </row>
    <row r="2" spans="1:25" ht="18" x14ac:dyDescent="0.3">
      <c r="A2" s="45" t="s">
        <v>16</v>
      </c>
      <c r="B2" s="78" t="s">
        <v>17</v>
      </c>
      <c r="C2" s="78" t="s">
        <v>6</v>
      </c>
      <c r="D2" s="46" t="s">
        <v>45</v>
      </c>
      <c r="E2" s="46" t="s">
        <v>18</v>
      </c>
      <c r="F2" s="46" t="s">
        <v>19</v>
      </c>
      <c r="G2" s="46" t="s">
        <v>20</v>
      </c>
      <c r="H2" s="46" t="s">
        <v>21</v>
      </c>
      <c r="I2" s="47" t="s">
        <v>0</v>
      </c>
      <c r="J2" s="48" t="s">
        <v>38</v>
      </c>
      <c r="K2" s="48" t="s">
        <v>22</v>
      </c>
      <c r="L2" s="48" t="s">
        <v>23</v>
      </c>
      <c r="M2" s="48" t="s">
        <v>24</v>
      </c>
      <c r="N2" s="48" t="s">
        <v>39</v>
      </c>
      <c r="O2" s="79" t="s">
        <v>46</v>
      </c>
      <c r="P2" s="49" t="s">
        <v>43</v>
      </c>
      <c r="Q2" s="49" t="s">
        <v>40</v>
      </c>
      <c r="R2" s="54" t="s">
        <v>41</v>
      </c>
      <c r="S2" s="39" t="s">
        <v>42</v>
      </c>
      <c r="T2" s="54" t="s">
        <v>25</v>
      </c>
      <c r="U2" s="57" t="s">
        <v>44</v>
      </c>
      <c r="W2" s="6">
        <v>2</v>
      </c>
    </row>
    <row r="3" spans="1:25" s="86" customFormat="1" ht="18" x14ac:dyDescent="0.3">
      <c r="A3" s="81">
        <v>1</v>
      </c>
      <c r="B3" s="82"/>
      <c r="C3" s="82"/>
      <c r="D3" s="81"/>
      <c r="E3" s="81"/>
      <c r="F3" s="81"/>
      <c r="G3" s="81"/>
      <c r="H3" s="81"/>
      <c r="I3" s="89"/>
      <c r="J3" s="83"/>
      <c r="K3" s="83"/>
      <c r="L3" s="83"/>
      <c r="M3" s="83"/>
      <c r="N3" s="83"/>
      <c r="O3" s="36"/>
      <c r="P3" s="84"/>
      <c r="Q3" s="83"/>
      <c r="R3" s="36"/>
      <c r="S3" s="36"/>
      <c r="T3" s="36"/>
      <c r="U3" s="85"/>
    </row>
    <row r="4" spans="1:25" ht="18" x14ac:dyDescent="0.3">
      <c r="A4" s="87"/>
      <c r="B4" s="88"/>
      <c r="C4" s="88"/>
      <c r="D4" s="87"/>
      <c r="E4" s="87"/>
      <c r="F4" s="87"/>
      <c r="G4" s="87"/>
      <c r="H4" s="87"/>
      <c r="I4" s="90"/>
      <c r="J4" s="71"/>
      <c r="K4" s="71"/>
      <c r="L4" s="71"/>
      <c r="M4" s="71"/>
      <c r="N4" s="71"/>
      <c r="O4" s="80"/>
      <c r="P4" s="72"/>
      <c r="Q4" s="73"/>
      <c r="R4" s="74"/>
      <c r="S4" s="74"/>
      <c r="T4" s="75"/>
      <c r="U4" s="76"/>
    </row>
    <row r="5" spans="1:25" x14ac:dyDescent="0.3">
      <c r="O5" s="52"/>
      <c r="P5" s="35"/>
      <c r="Q5" s="35"/>
      <c r="R5" s="52"/>
    </row>
    <row r="6" spans="1:25" x14ac:dyDescent="0.3">
      <c r="O6" s="52"/>
      <c r="P6" s="35"/>
      <c r="Q6" s="35"/>
      <c r="R6" s="52"/>
    </row>
    <row r="7" spans="1:25" x14ac:dyDescent="0.3">
      <c r="O7" s="52"/>
      <c r="P7" s="35"/>
      <c r="Q7" s="35"/>
      <c r="R7" s="52"/>
    </row>
    <row r="8" spans="1:25" x14ac:dyDescent="0.3">
      <c r="N8" s="50"/>
      <c r="O8" s="52"/>
      <c r="P8" s="35"/>
      <c r="Q8" s="35"/>
      <c r="R8" s="52"/>
    </row>
    <row r="9" spans="1:25" x14ac:dyDescent="0.3">
      <c r="O9" s="52"/>
      <c r="P9" s="35"/>
      <c r="Q9" s="35"/>
      <c r="R9" s="52"/>
    </row>
    <row r="10" spans="1:25" x14ac:dyDescent="0.3">
      <c r="O10" s="52"/>
      <c r="P10" s="35"/>
      <c r="Q10" s="35"/>
      <c r="R10" s="52"/>
    </row>
    <row r="11" spans="1:25" x14ac:dyDescent="0.3">
      <c r="O11" s="52"/>
      <c r="P11" s="35"/>
      <c r="Q11" s="35"/>
      <c r="R11" s="52"/>
    </row>
    <row r="12" spans="1:25" x14ac:dyDescent="0.3">
      <c r="O12" s="52"/>
      <c r="P12" s="35"/>
      <c r="Q12" s="35"/>
      <c r="R12" s="52"/>
    </row>
    <row r="13" spans="1:25" x14ac:dyDescent="0.3">
      <c r="O13" s="52"/>
      <c r="P13" s="35"/>
      <c r="Q13" s="35"/>
      <c r="R13" s="52"/>
    </row>
  </sheetData>
  <sheetProtection algorithmName="SHA-512" hashValue="JqBi9CVBF9GlZ3vAwCXaLaa756CXoGVisIJjeyErdwneQGaJwsEXWyUvCUy3hZTApFGYkVi/LpknEHVbfUZBNQ==" saltValue="B1lXydr9mYpZi3K22QfnVQ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opLeftCell="A4" zoomScale="85" zoomScaleNormal="85" workbookViewId="0">
      <selection activeCell="AA17" sqref="AA17"/>
    </sheetView>
  </sheetViews>
  <sheetFormatPr defaultColWidth="8.88671875" defaultRowHeight="14.4" x14ac:dyDescent="0.3"/>
  <cols>
    <col min="1" max="16384" width="8.88671875" style="27"/>
  </cols>
  <sheetData>
    <row r="1" spans="1:26" s="7" customFormat="1" ht="49.95" customHeight="1" x14ac:dyDescent="0.3">
      <c r="A1" s="21"/>
      <c r="B1" s="22"/>
      <c r="C1" s="22"/>
      <c r="D1" s="22"/>
      <c r="E1" s="22"/>
      <c r="F1" s="96" t="s">
        <v>37</v>
      </c>
      <c r="G1" s="96"/>
      <c r="H1" s="96"/>
      <c r="I1" s="96"/>
      <c r="J1" s="96"/>
      <c r="K1" s="22"/>
      <c r="L1" s="22"/>
      <c r="M1" s="22"/>
      <c r="N1" s="22"/>
      <c r="O1" s="22"/>
      <c r="P1" s="23"/>
      <c r="Q1" s="23"/>
      <c r="R1" s="23"/>
      <c r="S1" s="24"/>
      <c r="T1" s="22"/>
      <c r="U1" s="25"/>
      <c r="V1" s="22"/>
      <c r="W1" s="26"/>
      <c r="X1" s="9"/>
      <c r="Y1" s="9"/>
      <c r="Z1" s="9"/>
    </row>
  </sheetData>
  <sheetProtection algorithmName="SHA-512" hashValue="6UJdWy24LSBGpQci985oV0OJNVCz7zSm2xL5XF4+0MYQlBDQcr/zVmRD+rgprrkYnuOJ9e2c9f+gZw5ylzKxKw==" saltValue="Ombf0acSrXRAJfTZfrZ22g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2" customWidth="1"/>
    <col min="2" max="2" width="6.33203125" style="12" customWidth="1"/>
    <col min="3" max="3" width="13.44140625" style="12" customWidth="1"/>
    <col min="4" max="4" width="9" style="38" customWidth="1"/>
    <col min="5" max="5" width="8.88671875" style="38"/>
    <col min="6" max="16384" width="8.88671875" style="12"/>
  </cols>
  <sheetData>
    <row r="1" spans="1:5" ht="31.2" customHeight="1" x14ac:dyDescent="0.3">
      <c r="A1" s="33" t="s">
        <v>21</v>
      </c>
      <c r="B1" s="11" t="s">
        <v>34</v>
      </c>
      <c r="C1" s="11" t="s">
        <v>36</v>
      </c>
      <c r="D1" s="36" t="s">
        <v>25</v>
      </c>
      <c r="E1" s="36" t="s">
        <v>35</v>
      </c>
    </row>
    <row r="2" spans="1:5" x14ac:dyDescent="0.3">
      <c r="A2" s="34" t="s">
        <v>28</v>
      </c>
      <c r="B2" s="13">
        <v>1</v>
      </c>
      <c r="C2" s="14" t="str">
        <f>IF(B2=1,"janeiro","")</f>
        <v>janeiro</v>
      </c>
      <c r="D2" s="37">
        <f>SUMPRODUCT((MONTH(Tabela4[DATA])=B2)*(Tabela4[LUCRO]))</f>
        <v>0</v>
      </c>
      <c r="E2" s="37">
        <f>SUMPRODUCT((MONTH(Tabela4[DATA])=B2)*(Tabela4[TOTAL CUSTO]))</f>
        <v>0</v>
      </c>
    </row>
    <row r="3" spans="1:5" x14ac:dyDescent="0.3">
      <c r="A3" s="34" t="s">
        <v>27</v>
      </c>
      <c r="B3" s="13">
        <v>2</v>
      </c>
      <c r="C3" s="14" t="str">
        <f>IF(B3=2,"Fevereiro","")</f>
        <v>Fevereiro</v>
      </c>
      <c r="D3" s="37">
        <f>SUMPRODUCT((MONTH(Tabela4[DATA])=B3)*(Tabela4[LUCRO]))</f>
        <v>0</v>
      </c>
      <c r="E3" s="37">
        <f>SUMPRODUCT((MONTH(Tabela4[DATA])=B3)*(Tabela4[TOTAL CUSTO]))</f>
        <v>0</v>
      </c>
    </row>
    <row r="4" spans="1:5" x14ac:dyDescent="0.3">
      <c r="A4" s="34" t="s">
        <v>26</v>
      </c>
      <c r="B4" s="13">
        <v>3</v>
      </c>
      <c r="C4" s="14" t="str">
        <f>IF(B4=3,"Março","")</f>
        <v>Março</v>
      </c>
      <c r="D4" s="37">
        <f>SUMPRODUCT((MONTH(Tabela4[DATA])=B4)*(Tabela4[LUCRO]))</f>
        <v>0</v>
      </c>
      <c r="E4" s="37">
        <f>SUMPRODUCT((MONTH(Tabela4[DATA])=B4)*(Tabela4[TOTAL CUSTO]))</f>
        <v>0</v>
      </c>
    </row>
    <row r="5" spans="1:5" x14ac:dyDescent="0.3">
      <c r="A5" s="34" t="s">
        <v>29</v>
      </c>
      <c r="B5" s="13">
        <v>4</v>
      </c>
      <c r="C5" s="14" t="str">
        <f>IF(B5=4,"Abril","")</f>
        <v>Abril</v>
      </c>
      <c r="D5" s="37">
        <f>SUMPRODUCT((MONTH(Tabela4[DATA])=B5)*(Tabela4[LUCRO]))</f>
        <v>0</v>
      </c>
      <c r="E5" s="37">
        <f>SUMPRODUCT((MONTH(Tabela4[DATA])=B5)*(Tabela4[TOTAL CUSTO]))</f>
        <v>0</v>
      </c>
    </row>
    <row r="6" spans="1:5" x14ac:dyDescent="0.3">
      <c r="B6" s="13">
        <v>5</v>
      </c>
      <c r="C6" s="14" t="str">
        <f>IF(B6=5,"Maio","")</f>
        <v>Maio</v>
      </c>
      <c r="D6" s="37">
        <f>SUMPRODUCT((MONTH(Tabela4[DATA])=B6)*(Tabela4[LUCRO]))</f>
        <v>0</v>
      </c>
      <c r="E6" s="37">
        <f>SUMPRODUCT((MONTH(Tabela4[DATA])=B6)*(Tabela4[TOTAL CUSTO]))</f>
        <v>0</v>
      </c>
    </row>
    <row r="7" spans="1:5" x14ac:dyDescent="0.3">
      <c r="B7" s="13">
        <v>6</v>
      </c>
      <c r="C7" s="14" t="str">
        <f>IF(B7=6,"Junho","")</f>
        <v>Junho</v>
      </c>
      <c r="D7" s="37">
        <f>SUMPRODUCT((MONTH(Tabela4[DATA])=B7)*(Tabela4[LUCRO]))</f>
        <v>0</v>
      </c>
      <c r="E7" s="37">
        <f>SUMPRODUCT((MONTH(Tabela4[DATA])=B7)*(Tabela4[TOTAL CUSTO]))</f>
        <v>0</v>
      </c>
    </row>
    <row r="8" spans="1:5" x14ac:dyDescent="0.3">
      <c r="B8" s="13">
        <v>7</v>
      </c>
      <c r="C8" s="14" t="str">
        <f>IF(B8=7,"Julho","")</f>
        <v>Julho</v>
      </c>
      <c r="D8" s="37">
        <f>SUMPRODUCT((MONTH(Tabela4[DATA])=B8)*(Tabela4[LUCRO]))</f>
        <v>0</v>
      </c>
      <c r="E8" s="37">
        <f>SUMPRODUCT((MONTH(Tabela4[DATA])=B8)*(Tabela4[TOTAL CUSTO]))</f>
        <v>0</v>
      </c>
    </row>
    <row r="9" spans="1:5" x14ac:dyDescent="0.3">
      <c r="B9" s="13">
        <v>8</v>
      </c>
      <c r="C9" s="14" t="str">
        <f>IF(B9=8,"Agosto","")</f>
        <v>Agosto</v>
      </c>
      <c r="D9" s="37">
        <f>SUMPRODUCT((MONTH(Tabela4[DATA])=B9)*(Tabela4[LUCRO]))</f>
        <v>0</v>
      </c>
      <c r="E9" s="37">
        <f>SUMPRODUCT((MONTH(Tabela4[DATA])=B9)*(Tabela4[TOTAL CUSTO]))</f>
        <v>0</v>
      </c>
    </row>
    <row r="10" spans="1:5" x14ac:dyDescent="0.3">
      <c r="B10" s="13">
        <v>9</v>
      </c>
      <c r="C10" s="14" t="str">
        <f>IF(B10=9,"Setembro","")</f>
        <v>Setembro</v>
      </c>
      <c r="D10" s="37">
        <f>SUMPRODUCT((MONTH(Tabela4[DATA])=B10)*(Tabela4[LUCRO]))</f>
        <v>0</v>
      </c>
      <c r="E10" s="37">
        <f>SUMPRODUCT((MONTH(Tabela4[DATA])=B10)*(Tabela4[TOTAL CUSTO]))</f>
        <v>0</v>
      </c>
    </row>
    <row r="11" spans="1:5" x14ac:dyDescent="0.3">
      <c r="B11" s="13">
        <v>10</v>
      </c>
      <c r="C11" s="14" t="str">
        <f>IF(B11=10,"Outubro","")</f>
        <v>Outubro</v>
      </c>
      <c r="D11" s="37">
        <f>SUMPRODUCT((MONTH(Tabela4[DATA])=B11)*(Tabela4[LUCRO]))</f>
        <v>0</v>
      </c>
      <c r="E11" s="37">
        <f>SUMPRODUCT((MONTH(Tabela4[DATA])=B11)*(Tabela4[TOTAL CUSTO]))</f>
        <v>0</v>
      </c>
    </row>
    <row r="12" spans="1:5" x14ac:dyDescent="0.3">
      <c r="B12" s="13">
        <v>11</v>
      </c>
      <c r="C12" s="14" t="str">
        <f>IF(B12=11,"Novembro","")</f>
        <v>Novembro</v>
      </c>
      <c r="D12" s="37">
        <f>SUMPRODUCT((MONTH(Tabela4[DATA])=B12)*(Tabela4[LUCRO]))</f>
        <v>0</v>
      </c>
      <c r="E12" s="37">
        <f>SUMPRODUCT((MONTH(Tabela4[DATA])=B12)*(Tabela4[TOTAL CUSTO]))</f>
        <v>0</v>
      </c>
    </row>
    <row r="13" spans="1:5" x14ac:dyDescent="0.3">
      <c r="B13" s="13">
        <v>12</v>
      </c>
      <c r="C13" s="14" t="str">
        <f>IF(B13=12,"Dezembro","")</f>
        <v>Dezembro</v>
      </c>
      <c r="D13" s="37">
        <f>SUMPRODUCT((MONTH(Tabela4[DATA])=B13)*(Tabela4[LUCRO]))</f>
        <v>0</v>
      </c>
      <c r="E13" s="37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2023-02-01T05:22:25Z</dcterms:modified>
</cp:coreProperties>
</file>