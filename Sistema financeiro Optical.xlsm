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00605F3F-48F3-41A9-9800-FDE066305B44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" i="9" l="1"/>
  <c r="R9" i="9"/>
  <c r="R8" i="9"/>
  <c r="R7" i="9"/>
  <c r="R6" i="9"/>
  <c r="R5" i="9"/>
  <c r="O10" i="9"/>
  <c r="O7" i="9"/>
  <c r="O9" i="9"/>
  <c r="T9" i="9" s="1"/>
  <c r="U9" i="9" s="1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/>
  <c r="Q11" i="9"/>
  <c r="R11" i="9"/>
  <c r="D12" i="10"/>
  <c r="D2" i="10"/>
  <c r="D8" i="10"/>
  <c r="D7" i="10"/>
  <c r="D10" i="10"/>
  <c r="D9" i="10"/>
  <c r="D3" i="10"/>
  <c r="D11" i="10"/>
  <c r="D5" i="10"/>
  <c r="D4" i="10"/>
  <c r="D13" i="10"/>
  <c r="T11" i="9"/>
  <c r="D6" i="10"/>
  <c r="E10" i="10"/>
  <c r="E9" i="10"/>
  <c r="E6" i="10"/>
  <c r="E2" i="10"/>
  <c r="E3" i="10"/>
  <c r="E4" i="10"/>
  <c r="E11" i="10"/>
  <c r="E7" i="10"/>
  <c r="E5" i="10"/>
  <c r="E8" i="10"/>
  <c r="E12" i="10"/>
  <c r="E13" i="10"/>
  <c r="N11" i="9"/>
  <c r="O11" i="9"/>
  <c r="U11" i="9"/>
</calcChain>
</file>

<file path=xl/sharedStrings.xml><?xml version="1.0" encoding="utf-8"?>
<sst xmlns="http://schemas.openxmlformats.org/spreadsheetml/2006/main" count="174" uniqueCount="123">
  <si>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</si>
  <si>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</si>
  <si>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</si>
  <si>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</si>
  <si>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</si>
  <si>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</si>
  <si>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</si>
  <si>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</si>
  <si>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</si>
  <si>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</si>
  <si>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</si>
  <si>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</si>
  <si>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</si>
  <si>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</si>
  <si>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</si>
  <si>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</si>
  <si>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</si>
  <si>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</si>
  <si>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</si>
  <si>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</si>
  <si>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</si>
  <si>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</si>
  <si>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</si>
  <si>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</si>
  <si>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</si>
  <si>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</si>
  <si>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</si>
  <si>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</si>
  <si>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</si>
  <si>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</si>
  <si>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</si>
  <si>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</si>
  <si>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</si>
  <si>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</si>
  <si>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</si>
  <si>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</si>
  <si>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</si>
  <si>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</si>
  <si>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</si>
  <si>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</si>
  <si>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</si>
  <si>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</si>
  <si>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</si>
  <si>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</si>
  <si>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</si>
  <si>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</si>
  <si>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</si>
  <si>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</si>
  <si>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</si>
  <si>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</si>
  <si>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</si>
  <si>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</si>
  <si>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</si>
  <si>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</si>
  <si>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</si>
  <si>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</si>
  <si>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</si>
  <si>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</si>
  <si>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</si>
  <si>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</si>
  <si>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</si>
  <si>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</si>
  <si>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</si>
  <si>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</si>
  <si>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</si>
  <si>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</si>
  <si>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</si>
  <si>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</si>
  <si>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</si>
  <si>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</si>
  <si>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</si>
  <si>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</si>
  <si>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</si>
  <si>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</si>
  <si>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</si>
  <si>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</si>
  <si>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</si>
  <si>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</si>
  <si>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</si>
  <si>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</si>
  <si>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</si>
  <si>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</si>
  <si>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</si>
  <si>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</si>
  <si>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</si>
  <si>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</si>
  <si>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</si>
  <si>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</si>
  <si>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</si>
  <si>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</si>
  <si>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</si>
  <si>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</si>
  <si>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</si>
  <si>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</si>
  <si>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</si>
  <si>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</si>
  <si>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</si>
  <si>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</si>
  <si>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</si>
  <si>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</si>
  <si>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</si>
  <si>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</si>
  <si>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</si>
  <si>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</si>
  <si>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</si>
  <si>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</si>
  <si>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</si>
  <si>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</si>
  <si>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</si>
  <si>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</si>
  <si>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</si>
  <si>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</si>
  <si>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</si>
  <si>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</si>
  <si>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</si>
  <si>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</si>
  <si>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</t>
  </si>
  <si>
    <t>Tiago</t>
  </si>
  <si>
    <t>TECHNOPARK PLUS CR BLUE UV SURF oi</t>
  </si>
  <si>
    <t>ARMAÇÃO DO CLIENTE oi</t>
  </si>
  <si>
    <t>30/01/23</t>
  </si>
  <si>
    <t>R$ 10,00</t>
  </si>
  <si>
    <t>R$ 750,00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</si>
</sst>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4" fontId="0" fillId="5" borderId="2" xfId="0" applyNumberFormat="1" applyFill="1" applyBorder="1" applyAlignment="1" applyProtection="1">
      <alignment horizontal="center" vertical="center"/>
      <protection locked="0"/>
    </xf>
    <xf numFmtId="49" fontId="0" fillId="10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2" borderId="0" xfId="0" applyNumberFormat="1" applyFill="1" applyAlignment="1" applyProtection="1">
      <alignment horizontal="left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4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30/01/23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[0]!graficoVendas_lucro</c:f>
              <c:numCache>
                <c:formatCode>0.00</c:formatCode>
                <c:ptCount val="8"/>
                <c:pt idx="0">
                  <c:v>504.1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30/01/23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[0]!graficoVendas_custo</c:f>
              <c:numCache>
                <c:formatCode>0.00</c:formatCode>
                <c:ptCount val="8"/>
                <c:pt idx="0">
                  <c:v>245.9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885.73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2674.17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1" totalsRowShown="0" headerRowDxfId="62" dataDxfId="61" tableBorderDxfId="60">
  <autoFilter ref="A2:AH11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activeCell="F19" sqref="F19"/>
    </sheetView>
  </sheetViews>
  <sheetFormatPr defaultColWidth="8.88671875" defaultRowHeight="14.4" x14ac:dyDescent="0.3"/>
  <cols>
    <col min="1" max="16384" width="8.88671875" style="29"/>
  </cols>
  <sheetData>
    <row r="1" spans="1:22" ht="70.2" customHeight="1" x14ac:dyDescent="0.3">
      <c r="A1" s="91" t="s">
        <v>33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</row>
    <row r="2" spans="1:22" x14ac:dyDescent="0.3">
      <c r="A2" s="30"/>
      <c r="V2" s="31"/>
    </row>
    <row r="3" spans="1:22" x14ac:dyDescent="0.3">
      <c r="A3" s="30"/>
      <c r="V3" s="31"/>
    </row>
    <row r="4" spans="1:22" x14ac:dyDescent="0.3">
      <c r="A4" s="30"/>
      <c r="V4" s="31"/>
    </row>
    <row r="5" spans="1:22" x14ac:dyDescent="0.3">
      <c r="A5" s="30"/>
      <c r="V5" s="31"/>
    </row>
    <row r="6" spans="1:22" x14ac:dyDescent="0.3">
      <c r="A6" s="30"/>
      <c r="V6" s="31"/>
    </row>
    <row r="7" spans="1:22" x14ac:dyDescent="0.3">
      <c r="A7" s="30"/>
      <c r="V7" s="31"/>
    </row>
    <row r="8" spans="1:22" x14ac:dyDescent="0.3">
      <c r="A8" s="30"/>
      <c r="V8" s="31"/>
    </row>
    <row r="9" spans="1:22" x14ac:dyDescent="0.3">
      <c r="A9" s="30"/>
      <c r="V9" s="31"/>
    </row>
    <row r="10" spans="1:22" x14ac:dyDescent="0.3">
      <c r="A10" s="30"/>
      <c r="V10" s="31"/>
    </row>
    <row r="11" spans="1:22" x14ac:dyDescent="0.3">
      <c r="A11" s="30"/>
      <c r="V11" s="31"/>
    </row>
    <row r="12" spans="1:22" x14ac:dyDescent="0.3">
      <c r="A12" s="30"/>
      <c r="V12" s="31"/>
    </row>
    <row r="13" spans="1:22" x14ac:dyDescent="0.3">
      <c r="A13" s="30"/>
      <c r="V13" s="31"/>
    </row>
    <row r="14" spans="1:22" x14ac:dyDescent="0.3">
      <c r="A14" s="30"/>
      <c r="I14" s="9"/>
      <c r="V14" s="31"/>
    </row>
    <row r="15" spans="1:22" x14ac:dyDescent="0.3">
      <c r="A15" s="30"/>
      <c r="V15" s="31"/>
    </row>
    <row r="16" spans="1:22" x14ac:dyDescent="0.3">
      <c r="A16" s="30"/>
      <c r="V16" s="31"/>
    </row>
    <row r="17" spans="1:22" x14ac:dyDescent="0.3">
      <c r="A17" s="30"/>
      <c r="V17" s="31"/>
    </row>
    <row r="18" spans="1:22" x14ac:dyDescent="0.3">
      <c r="A18" s="30"/>
      <c r="V18" s="31"/>
    </row>
    <row r="19" spans="1:22" x14ac:dyDescent="0.3">
      <c r="A19" s="30"/>
      <c r="V19" s="31"/>
    </row>
    <row r="20" spans="1:22" x14ac:dyDescent="0.3">
      <c r="A20" s="30"/>
      <c r="V20" s="31"/>
    </row>
    <row r="21" spans="1:22" x14ac:dyDescent="0.3">
      <c r="A21" s="30"/>
      <c r="V21" s="31"/>
    </row>
    <row r="22" spans="1:22" x14ac:dyDescent="0.3">
      <c r="A22" s="32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4"/>
    </row>
    <row r="23" spans="1:22" ht="40.200000000000003" customHeight="1" x14ac:dyDescent="0.3">
      <c r="A23" s="92" t="s">
        <v>30</v>
      </c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</row>
  </sheetData>
  <sheetProtection algorithmName="SHA-512" hashValue="gr4IcZvLAj8X0jl+M8pB3iGNAZ0417Ps739e3Ku3mGKwCrY4emezxVdaRRuQFaRKAYBYqIctFNDCifZyj72y2g==" saltValue="O+AciCRZ1Z5+s+bMO3VsRA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1"/>
  <sheetViews>
    <sheetView showGridLines="0" showRowColHeaders="0" workbookViewId="0">
      <pane ySplit="2" topLeftCell="A3" activePane="bottomLeft" state="frozen"/>
      <selection pane="bottomLeft" activeCell="B20" sqref="B20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1" customWidth="1"/>
    <col min="4" max="5" width="25.6640625" style="1" customWidth="1"/>
    <col min="6" max="6" width="26.33203125" style="1" customWidth="1"/>
    <col min="7" max="7" width="21" style="81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87" customWidth="1"/>
    <col min="30" max="30" width="17" style="87" customWidth="1"/>
    <col min="31" max="34" width="15.6640625" style="87" customWidth="1"/>
    <col min="35" max="35" width="2.88671875" style="1" customWidth="1"/>
    <col min="36" max="16384" width="8.88671875" style="1"/>
  </cols>
  <sheetData>
    <row r="1" spans="1:36" s="9" customFormat="1" ht="49.95" customHeight="1" x14ac:dyDescent="0.3">
      <c r="A1" s="10"/>
      <c r="B1" s="10"/>
      <c r="C1" s="78"/>
      <c r="D1" s="10"/>
      <c r="E1" s="93" t="s">
        <v>31</v>
      </c>
      <c r="F1" s="94"/>
      <c r="G1" s="94"/>
      <c r="H1" s="94"/>
      <c r="I1" s="17"/>
      <c r="J1" s="17"/>
      <c r="K1" s="17"/>
      <c r="L1" s="17"/>
      <c r="M1" s="10"/>
      <c r="N1" s="77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J1" s="12" t="s">
        <v>16</v>
      </c>
    </row>
    <row r="2" spans="1:36" s="22" customFormat="1" ht="18" x14ac:dyDescent="0.3">
      <c r="A2" s="18" t="s">
        <v>16</v>
      </c>
      <c r="B2" s="19" t="s">
        <v>1</v>
      </c>
      <c r="C2" s="79" t="s">
        <v>6</v>
      </c>
      <c r="D2" s="19" t="s">
        <v>7</v>
      </c>
      <c r="E2" s="19" t="s">
        <v>2</v>
      </c>
      <c r="F2" s="19" t="s">
        <v>3</v>
      </c>
      <c r="G2" s="79" t="s">
        <v>99</v>
      </c>
      <c r="H2" s="19" t="s">
        <v>4</v>
      </c>
      <c r="I2" s="19" t="s">
        <v>100</v>
      </c>
      <c r="J2" s="19" t="s">
        <v>101</v>
      </c>
      <c r="K2" s="19" t="s">
        <v>102</v>
      </c>
      <c r="L2" s="19" t="s">
        <v>103</v>
      </c>
      <c r="M2" s="19" t="s">
        <v>5</v>
      </c>
      <c r="N2" s="20" t="s">
        <v>0</v>
      </c>
      <c r="O2" s="84" t="s">
        <v>8</v>
      </c>
      <c r="P2" s="84" t="s">
        <v>105</v>
      </c>
      <c r="Q2" s="84" t="s">
        <v>9</v>
      </c>
      <c r="R2" s="84" t="s">
        <v>10</v>
      </c>
      <c r="S2" s="84" t="s">
        <v>11</v>
      </c>
      <c r="T2" s="84" t="s">
        <v>12</v>
      </c>
      <c r="U2" s="84" t="s">
        <v>13</v>
      </c>
      <c r="V2" s="84" t="s">
        <v>104</v>
      </c>
      <c r="W2" s="84" t="s">
        <v>14</v>
      </c>
      <c r="X2" s="84" t="s">
        <v>106</v>
      </c>
      <c r="Y2" s="84" t="s">
        <v>107</v>
      </c>
      <c r="Z2" s="84" t="s">
        <v>15</v>
      </c>
      <c r="AA2" s="84" t="s">
        <v>108</v>
      </c>
      <c r="AB2" s="84" t="s">
        <v>113</v>
      </c>
      <c r="AC2" s="84" t="s">
        <v>109</v>
      </c>
      <c r="AD2" s="84" t="s">
        <v>115</v>
      </c>
      <c r="AE2" s="84" t="s">
        <v>110</v>
      </c>
      <c r="AF2" s="84" t="s">
        <v>111</v>
      </c>
      <c r="AG2" s="84" t="s">
        <v>112</v>
      </c>
      <c r="AH2" s="84" t="s">
        <v>114</v>
      </c>
      <c r="AI2" s="21"/>
      <c r="AJ2" s="7">
        <v>12</v>
      </c>
    </row>
    <row r="3" spans="1:36" s="22" customFormat="1" ht="18" x14ac:dyDescent="0.3">
      <c r="A3" s="18"/>
      <c r="B3" s="19"/>
      <c r="C3" s="79"/>
      <c r="D3" s="19"/>
      <c r="E3" s="19"/>
      <c r="F3" s="19"/>
      <c r="G3" s="79"/>
      <c r="H3" s="19"/>
      <c r="I3" s="19"/>
      <c r="J3" s="19"/>
      <c r="K3" s="19"/>
      <c r="L3" s="19"/>
      <c r="M3" s="19"/>
      <c r="N3" s="20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75"/>
      <c r="AJ3" s="74"/>
    </row>
    <row r="4" spans="1:36" x14ac:dyDescent="0.3">
      <c r="A4" s="3">
        <v>1</v>
      </c>
      <c r="B4" s="4" t="s">
        <v>39</v>
      </c>
      <c r="C4" s="80" t="s">
        <v>47</v>
      </c>
      <c r="D4" s="4"/>
      <c r="E4" s="4">
        <v>11996773063</v>
      </c>
      <c r="F4" s="4"/>
      <c r="G4" s="80"/>
      <c r="H4" s="4"/>
      <c r="I4" s="4"/>
      <c r="J4" s="4"/>
      <c r="K4" s="4"/>
      <c r="L4" s="4"/>
      <c r="M4" s="4" t="s">
        <v>74</v>
      </c>
      <c r="N4" s="5">
        <v>45261</v>
      </c>
      <c r="O4" s="85" t="s">
        <v>40</v>
      </c>
      <c r="P4" s="85" t="s">
        <v>41</v>
      </c>
      <c r="Q4" s="85">
        <v>10</v>
      </c>
      <c r="R4" s="85">
        <v>32</v>
      </c>
      <c r="S4" s="85" t="s">
        <v>42</v>
      </c>
      <c r="T4" s="85">
        <v>20</v>
      </c>
      <c r="U4" s="85" t="s">
        <v>43</v>
      </c>
      <c r="V4" s="85" t="s">
        <v>44</v>
      </c>
      <c r="W4" s="85">
        <v>170</v>
      </c>
      <c r="X4" s="85">
        <v>32</v>
      </c>
      <c r="Y4" s="85" t="s">
        <v>42</v>
      </c>
      <c r="Z4" s="85">
        <v>20</v>
      </c>
      <c r="AA4" s="85" t="s">
        <v>45</v>
      </c>
      <c r="AB4" s="85" t="s">
        <v>41</v>
      </c>
      <c r="AC4" s="85">
        <v>10</v>
      </c>
      <c r="AD4" s="85">
        <v>32</v>
      </c>
      <c r="AE4" s="85" t="s">
        <v>46</v>
      </c>
      <c r="AF4" s="85" t="s">
        <v>44</v>
      </c>
      <c r="AG4" s="85">
        <v>170</v>
      </c>
      <c r="AH4" s="85">
        <v>32</v>
      </c>
      <c r="AI4" s="43"/>
    </row>
    <row r="5" spans="1:36" x14ac:dyDescent="0.3">
      <c r="A5" s="3">
        <v>2</v>
      </c>
      <c r="B5" s="4" t="s">
        <v>48</v>
      </c>
      <c r="C5" s="80">
        <v>35</v>
      </c>
      <c r="D5" s="4"/>
      <c r="E5" s="4">
        <v>11941875014</v>
      </c>
      <c r="F5" s="4"/>
      <c r="G5" s="80"/>
      <c r="H5" s="4"/>
      <c r="I5" s="4"/>
      <c r="J5" s="4"/>
      <c r="K5" s="4"/>
      <c r="L5" s="4"/>
      <c r="M5" s="4" t="s">
        <v>56</v>
      </c>
      <c r="N5" s="5" t="s">
        <v>49</v>
      </c>
      <c r="O5" s="85">
        <v>0</v>
      </c>
      <c r="P5" s="85">
        <v>0</v>
      </c>
      <c r="Q5" s="85">
        <v>0</v>
      </c>
      <c r="R5" s="85" t="s">
        <v>116</v>
      </c>
      <c r="S5" s="85">
        <v>0</v>
      </c>
      <c r="T5" s="85">
        <v>0</v>
      </c>
      <c r="U5" s="85">
        <v>0</v>
      </c>
      <c r="V5" s="85">
        <v>0</v>
      </c>
      <c r="W5" s="85">
        <v>0</v>
      </c>
      <c r="X5" s="85"/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5">
        <v>0</v>
      </c>
      <c r="AH5" s="85">
        <v>0</v>
      </c>
    </row>
    <row r="6" spans="1:36" x14ac:dyDescent="0.3">
      <c r="A6" s="3">
        <v>3</v>
      </c>
      <c r="B6" s="4" t="s">
        <v>52</v>
      </c>
      <c r="C6" s="80">
        <v>36</v>
      </c>
      <c r="D6" s="4"/>
      <c r="E6" s="4">
        <v>11974661323</v>
      </c>
      <c r="F6" s="4"/>
      <c r="G6" s="80"/>
      <c r="H6" s="4"/>
      <c r="I6" s="4"/>
      <c r="J6" s="4"/>
      <c r="K6" s="4"/>
      <c r="L6" s="4"/>
      <c r="M6" s="4" t="s">
        <v>57</v>
      </c>
      <c r="N6" s="5" t="s">
        <v>53</v>
      </c>
      <c r="O6" s="85" t="s">
        <v>54</v>
      </c>
      <c r="P6" s="85">
        <v>0</v>
      </c>
      <c r="Q6" s="85">
        <v>0</v>
      </c>
      <c r="R6" s="85">
        <v>30</v>
      </c>
      <c r="S6" s="85">
        <v>0</v>
      </c>
      <c r="T6" s="85">
        <v>0</v>
      </c>
      <c r="U6" s="85" t="s">
        <v>54</v>
      </c>
      <c r="V6" s="85">
        <v>0</v>
      </c>
      <c r="W6" s="85">
        <v>0</v>
      </c>
      <c r="X6" s="85">
        <v>29.5</v>
      </c>
      <c r="Y6" s="85">
        <v>0</v>
      </c>
      <c r="Z6" s="85">
        <v>0</v>
      </c>
      <c r="AA6" s="85">
        <v>0</v>
      </c>
      <c r="AB6" s="85">
        <v>0</v>
      </c>
      <c r="AC6" s="85">
        <v>0</v>
      </c>
      <c r="AD6" s="85">
        <v>0</v>
      </c>
      <c r="AE6" s="85">
        <v>0</v>
      </c>
      <c r="AF6" s="85">
        <v>0</v>
      </c>
      <c r="AG6" s="85">
        <v>0</v>
      </c>
      <c r="AH6" s="85">
        <v>0</v>
      </c>
    </row>
    <row r="7" spans="1:36" x14ac:dyDescent="0.3">
      <c r="A7" s="3">
        <v>4</v>
      </c>
      <c r="B7" s="4" t="s">
        <v>58</v>
      </c>
      <c r="C7" s="80">
        <v>37</v>
      </c>
      <c r="D7" s="4"/>
      <c r="E7" s="4">
        <v>11941447046</v>
      </c>
      <c r="F7" s="4"/>
      <c r="G7" s="80"/>
      <c r="H7" s="4"/>
      <c r="I7" s="4"/>
      <c r="J7" s="4"/>
      <c r="K7" s="4"/>
      <c r="L7" s="4"/>
      <c r="M7" s="4" t="s">
        <v>73</v>
      </c>
      <c r="N7" s="5">
        <v>44944</v>
      </c>
      <c r="O7" s="85" t="s">
        <v>60</v>
      </c>
      <c r="P7" s="85" t="s">
        <v>61</v>
      </c>
      <c r="Q7" s="85">
        <v>90</v>
      </c>
      <c r="R7" s="85">
        <v>31</v>
      </c>
      <c r="S7" s="85">
        <v>0</v>
      </c>
      <c r="T7" s="85">
        <v>0</v>
      </c>
      <c r="U7" s="85" t="s">
        <v>60</v>
      </c>
      <c r="V7" s="85" t="s">
        <v>62</v>
      </c>
      <c r="W7" s="85">
        <v>20</v>
      </c>
      <c r="X7" s="85">
        <v>30</v>
      </c>
      <c r="Y7" s="85">
        <v>0</v>
      </c>
      <c r="Z7" s="85">
        <v>0</v>
      </c>
      <c r="AA7" s="85" t="s">
        <v>63</v>
      </c>
      <c r="AB7" s="85" t="s">
        <v>61</v>
      </c>
      <c r="AC7" s="85">
        <v>90</v>
      </c>
      <c r="AD7" s="85">
        <v>31</v>
      </c>
      <c r="AE7" s="85" t="s">
        <v>63</v>
      </c>
      <c r="AF7" s="85" t="s">
        <v>62</v>
      </c>
      <c r="AG7" s="85">
        <v>20</v>
      </c>
      <c r="AH7" s="85">
        <v>30</v>
      </c>
    </row>
    <row r="8" spans="1:36" x14ac:dyDescent="0.3">
      <c r="A8" s="3">
        <v>5</v>
      </c>
      <c r="B8" s="4" t="s">
        <v>71</v>
      </c>
      <c r="C8" s="80">
        <v>38</v>
      </c>
      <c r="D8" s="4"/>
      <c r="E8" s="4" t="s">
        <v>98</v>
      </c>
      <c r="F8" s="4"/>
      <c r="G8" s="80"/>
      <c r="H8" s="4"/>
      <c r="I8" s="4"/>
      <c r="J8" s="4"/>
      <c r="K8" s="4"/>
      <c r="L8" s="4"/>
      <c r="M8" s="4" t="s">
        <v>72</v>
      </c>
      <c r="N8" s="5" t="s">
        <v>67</v>
      </c>
      <c r="O8" s="85" t="s">
        <v>68</v>
      </c>
      <c r="P8" s="85" t="s">
        <v>62</v>
      </c>
      <c r="Q8" s="85">
        <v>115</v>
      </c>
      <c r="R8" s="85">
        <v>27</v>
      </c>
      <c r="S8" s="85">
        <v>0</v>
      </c>
      <c r="T8" s="85">
        <v>0</v>
      </c>
      <c r="U8" s="85" t="s">
        <v>69</v>
      </c>
      <c r="V8" s="85" t="s">
        <v>61</v>
      </c>
      <c r="W8" s="85">
        <v>60</v>
      </c>
      <c r="X8" s="85">
        <v>27</v>
      </c>
      <c r="Y8" s="85">
        <v>0</v>
      </c>
      <c r="Z8" s="85">
        <v>0</v>
      </c>
      <c r="AA8" s="85">
        <v>0</v>
      </c>
      <c r="AB8" s="85">
        <v>0</v>
      </c>
      <c r="AC8" s="85">
        <v>0</v>
      </c>
      <c r="AD8" s="85">
        <v>0</v>
      </c>
      <c r="AE8" s="85">
        <v>0</v>
      </c>
      <c r="AF8" s="85">
        <v>0</v>
      </c>
      <c r="AG8" s="85">
        <v>0</v>
      </c>
      <c r="AH8" s="85">
        <v>0</v>
      </c>
    </row>
    <row r="9" spans="1:36" x14ac:dyDescent="0.3">
      <c r="A9" s="3">
        <v>6</v>
      </c>
      <c r="B9" s="4" t="s">
        <v>75</v>
      </c>
      <c r="C9" s="80" t="s">
        <v>82</v>
      </c>
      <c r="D9" s="4"/>
      <c r="E9" s="4" t="s">
        <v>76</v>
      </c>
      <c r="F9" s="4"/>
      <c r="G9" s="80"/>
      <c r="H9" s="4"/>
      <c r="I9" s="4"/>
      <c r="J9" s="4"/>
      <c r="K9" s="4"/>
      <c r="L9" s="4"/>
      <c r="M9" s="4" t="s">
        <v>77</v>
      </c>
      <c r="N9" s="5" t="s">
        <v>78</v>
      </c>
      <c r="O9" s="85" t="s">
        <v>79</v>
      </c>
      <c r="P9" s="85" t="s">
        <v>54</v>
      </c>
      <c r="Q9" s="85">
        <v>155</v>
      </c>
      <c r="R9" s="85">
        <v>31</v>
      </c>
      <c r="S9" s="85">
        <v>0</v>
      </c>
      <c r="T9" s="85">
        <v>22</v>
      </c>
      <c r="U9" s="85" t="s">
        <v>79</v>
      </c>
      <c r="V9" s="85" t="s">
        <v>80</v>
      </c>
      <c r="W9" s="85">
        <v>15</v>
      </c>
      <c r="X9" s="85">
        <v>31</v>
      </c>
      <c r="Y9" s="85">
        <v>0</v>
      </c>
      <c r="Z9" s="85">
        <v>22</v>
      </c>
      <c r="AA9" s="85" t="s">
        <v>42</v>
      </c>
      <c r="AB9" s="85" t="s">
        <v>54</v>
      </c>
      <c r="AC9" s="85">
        <v>155</v>
      </c>
      <c r="AD9" s="85">
        <v>31</v>
      </c>
      <c r="AE9" s="85" t="s">
        <v>42</v>
      </c>
      <c r="AF9" s="85" t="s">
        <v>80</v>
      </c>
      <c r="AG9" s="85">
        <v>15</v>
      </c>
      <c r="AH9" s="85">
        <v>31</v>
      </c>
    </row>
    <row r="10" spans="1:36" x14ac:dyDescent="0.3">
      <c r="A10" s="3">
        <v>7</v>
      </c>
      <c r="B10" s="4" t="s">
        <v>84</v>
      </c>
      <c r="C10" s="80" t="s">
        <v>85</v>
      </c>
      <c r="D10" s="4"/>
      <c r="E10" s="4">
        <v>11961805927</v>
      </c>
      <c r="F10" s="4"/>
      <c r="G10" s="80"/>
      <c r="H10" s="4"/>
      <c r="I10" s="4"/>
      <c r="J10" s="4"/>
      <c r="K10" s="4"/>
      <c r="L10" s="4"/>
      <c r="M10" s="4" t="s">
        <v>89</v>
      </c>
      <c r="N10" s="5" t="s">
        <v>78</v>
      </c>
      <c r="O10" s="85" t="s">
        <v>43</v>
      </c>
      <c r="P10" s="85" t="s">
        <v>62</v>
      </c>
      <c r="Q10" s="85">
        <v>5</v>
      </c>
      <c r="R10" s="85">
        <v>31</v>
      </c>
      <c r="S10" s="85">
        <v>0</v>
      </c>
      <c r="T10" s="85">
        <v>23</v>
      </c>
      <c r="U10" s="85" t="s">
        <v>43</v>
      </c>
      <c r="V10" s="85" t="s">
        <v>62</v>
      </c>
      <c r="W10" s="85">
        <v>135</v>
      </c>
      <c r="X10" s="85">
        <v>30</v>
      </c>
      <c r="Y10" s="85">
        <v>0</v>
      </c>
      <c r="Z10" s="85">
        <v>23</v>
      </c>
      <c r="AA10" s="85" t="s">
        <v>86</v>
      </c>
      <c r="AB10" s="85" t="s">
        <v>62</v>
      </c>
      <c r="AC10" s="85">
        <v>5</v>
      </c>
      <c r="AD10" s="85">
        <v>31</v>
      </c>
      <c r="AE10" s="85" t="s">
        <v>86</v>
      </c>
      <c r="AF10" s="85" t="s">
        <v>62</v>
      </c>
      <c r="AG10" s="85">
        <v>135</v>
      </c>
      <c r="AH10" s="85">
        <v>30</v>
      </c>
    </row>
    <row r="11" spans="1:36" x14ac:dyDescent="0.3">
      <c r="A11" s="3"/>
      <c r="B11" s="4"/>
      <c r="C11" s="80"/>
      <c r="D11" s="3"/>
      <c r="E11" s="4"/>
      <c r="F11" s="4"/>
      <c r="G11" s="80"/>
      <c r="H11" s="3"/>
      <c r="I11" s="4"/>
      <c r="J11" s="4"/>
      <c r="K11" s="4"/>
      <c r="L11" s="4"/>
      <c r="M11" s="4"/>
      <c r="N11" s="82"/>
      <c r="O11" s="86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</row>
  </sheetData>
  <sheetProtection algorithmName="SHA-512" hashValue="F0VV65adcTgC67UONgJUhN58Iixtwyt+GszHNgogahyI1hWpCNJut4n+E/yVC8DrGXO1f4hxfhcNSWwGRCKfUQ==" saltValue="USA9dCfnPNyk1Q0b/HE9CA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 activeCell="W16" sqref="W16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67" customWidth="1"/>
    <col min="16" max="17" width="15.6640625" style="2" customWidth="1"/>
    <col min="18" max="18" width="15.6640625" style="67" customWidth="1"/>
    <col min="19" max="19" width="15.6640625" style="70" customWidth="1"/>
    <col min="20" max="20" width="15.6640625" style="67" customWidth="1"/>
    <col min="21" max="21" width="15.6640625" style="70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1"/>
      <c r="B1" s="51"/>
      <c r="C1" s="51"/>
      <c r="D1" s="51"/>
      <c r="E1" s="95" t="s">
        <v>32</v>
      </c>
      <c r="F1" s="95"/>
      <c r="G1" s="95"/>
      <c r="H1" s="95"/>
      <c r="I1" s="95"/>
      <c r="J1" s="52"/>
      <c r="K1" s="52"/>
      <c r="L1" s="52"/>
      <c r="M1" s="52"/>
      <c r="N1" s="52"/>
      <c r="O1" s="64"/>
      <c r="P1" s="53"/>
      <c r="Q1" s="53"/>
      <c r="R1" s="64"/>
      <c r="S1" s="69"/>
      <c r="T1" s="64"/>
      <c r="U1" s="69"/>
      <c r="V1" s="54"/>
      <c r="W1" s="55" t="s">
        <v>16</v>
      </c>
      <c r="X1" s="54"/>
      <c r="Y1" s="54"/>
    </row>
    <row r="2" spans="1:25" ht="18" x14ac:dyDescent="0.3">
      <c r="A2" s="56" t="s">
        <v>16</v>
      </c>
      <c r="B2" s="57" t="s">
        <v>17</v>
      </c>
      <c r="C2" s="57" t="s">
        <v>6</v>
      </c>
      <c r="D2" s="57" t="s">
        <v>96</v>
      </c>
      <c r="E2" s="57" t="s">
        <v>18</v>
      </c>
      <c r="F2" s="57" t="s">
        <v>19</v>
      </c>
      <c r="G2" s="57" t="s">
        <v>20</v>
      </c>
      <c r="H2" s="57" t="s">
        <v>21</v>
      </c>
      <c r="I2" s="58" t="s">
        <v>0</v>
      </c>
      <c r="J2" s="59" t="s">
        <v>38</v>
      </c>
      <c r="K2" s="59" t="s">
        <v>22</v>
      </c>
      <c r="L2" s="59" t="s">
        <v>23</v>
      </c>
      <c r="M2" s="59" t="s">
        <v>24</v>
      </c>
      <c r="N2" s="59" t="s">
        <v>90</v>
      </c>
      <c r="O2" s="65" t="s">
        <v>97</v>
      </c>
      <c r="P2" s="60" t="s">
        <v>94</v>
      </c>
      <c r="Q2" s="60" t="s">
        <v>91</v>
      </c>
      <c r="R2" s="68" t="s">
        <v>92</v>
      </c>
      <c r="S2" s="49" t="s">
        <v>93</v>
      </c>
      <c r="T2" s="68" t="s">
        <v>25</v>
      </c>
      <c r="U2" s="72" t="s">
        <v>95</v>
      </c>
      <c r="W2" s="7">
        <v>8</v>
      </c>
    </row>
    <row r="3" spans="1:25" ht="18" x14ac:dyDescent="0.3">
      <c r="A3" s="56"/>
      <c r="B3" s="57"/>
      <c r="C3" s="57"/>
      <c r="D3" s="57"/>
      <c r="E3" s="57"/>
      <c r="F3" s="57"/>
      <c r="G3" s="57"/>
      <c r="H3" s="57"/>
      <c r="I3" s="58"/>
      <c r="J3" s="59"/>
      <c r="K3" s="59"/>
      <c r="L3" s="59"/>
      <c r="M3" s="59"/>
      <c r="N3" s="59"/>
      <c r="O3" s="65"/>
      <c r="P3" s="60"/>
      <c r="Q3" s="60"/>
      <c r="R3" s="68"/>
      <c r="S3" s="49"/>
      <c r="T3" s="68"/>
      <c r="U3" s="72"/>
      <c r="W3" s="74"/>
    </row>
    <row r="4" spans="1:25" x14ac:dyDescent="0.3">
      <c r="A4" s="8">
        <v>1</v>
      </c>
      <c r="B4" s="8">
        <v>1</v>
      </c>
      <c r="C4" s="8">
        <v>25151</v>
      </c>
      <c r="D4" s="8" t="s">
        <v>117</v>
      </c>
      <c r="E4" s="8" t="s">
        <v>118</v>
      </c>
      <c r="F4" s="8" t="s">
        <v>119</v>
      </c>
      <c r="G4" s="8">
        <v>1</v>
      </c>
      <c r="H4" s="8" t="s">
        <v>28</v>
      </c>
      <c r="I4" s="38" t="s">
        <v>120</v>
      </c>
      <c r="J4" s="37">
        <v>12</v>
      </c>
      <c r="K4" s="37">
        <v>150</v>
      </c>
      <c r="L4" s="37">
        <v>7</v>
      </c>
      <c r="M4" s="37">
        <v>66.900000000000006</v>
      </c>
      <c r="N4" s="37" t="s">
        <v>121</v>
      </c>
      <c r="O4" s="50">
        <f>Tabela4[[#This Row],[MONTAGEM]]+Tabela4[[#This Row],[ARMAÇÃO]]+Tabela4[[#This Row],[CAIXINHA/SPRAY]]+Tabela4[[#This Row],[LENTE]]+Tabela4[[#This Row],[TAXA]]</f>
        <v>245.9</v>
      </c>
      <c r="P4" s="61" t="s">
        <v>122</v>
      </c>
      <c r="Q4" s="61">
        <v>250</v>
      </c>
      <c r="R4" s="50">
        <v>500</v>
      </c>
      <c r="S4" s="47">
        <f>Tabela4[[#This Row],[VALOR VENDA]]-Tabela4[[#This Row],[TAXA]]</f>
        <v>740</v>
      </c>
      <c r="T4" s="71">
        <f>Tabela4[[#This Row],[QT]]*Tabela4[[#This Row],[VALOR VENDA]]-Tabela4[[#This Row],[TOTAL CUSTO]]</f>
        <v>504.1</v>
      </c>
      <c r="U4" s="73">
        <f>IF(O4=0,0,Tabela4[[#This Row],[LUCRO]]/Tabela4[[#This Row],[TOTAL CUSTO]])</f>
        <v>2.0500203334688898</v>
      </c>
      <c r="X4" s="62"/>
    </row>
    <row r="5" spans="1:25" x14ac:dyDescent="0.3">
      <c r="A5" s="44">
        <v>2</v>
      </c>
      <c r="B5" s="44">
        <v>0</v>
      </c>
      <c r="C5" s="44">
        <v>454659</v>
      </c>
      <c r="D5" s="44" t="s">
        <v>48</v>
      </c>
      <c r="E5" s="44" t="s">
        <v>50</v>
      </c>
      <c r="F5" s="44" t="s">
        <v>51</v>
      </c>
      <c r="G5" s="44">
        <v>1</v>
      </c>
      <c r="H5" s="44" t="s">
        <v>27</v>
      </c>
      <c r="I5" s="76" t="s">
        <v>49</v>
      </c>
      <c r="J5" s="45">
        <v>12</v>
      </c>
      <c r="K5" s="45">
        <v>25</v>
      </c>
      <c r="L5" s="45">
        <v>7</v>
      </c>
      <c r="M5" s="45">
        <v>25</v>
      </c>
      <c r="N5" s="37">
        <v>0</v>
      </c>
      <c r="O5" s="46">
        <f>Tabela4[[#This Row],[MONTAGEM]]+Tabela4[[#This Row],[ARMAÇÃO]]+Tabela4[[#This Row],[CAIXINHA/SPRAY]]+Tabela4[[#This Row],[LENTE]]+Tabela4[[#This Row],[TAXA]]</f>
        <v>69</v>
      </c>
      <c r="P5" s="61">
        <v>250</v>
      </c>
      <c r="Q5" s="61">
        <v>0</v>
      </c>
      <c r="R5" s="50">
        <f>IF(Tabela4[[#This Row],[SINAL]]=0,0,Tabela4[[#This Row],[VALOR VENDA]]-Tabela4[[#This Row],[SINAL]])</f>
        <v>0</v>
      </c>
      <c r="S5" s="47">
        <f>Tabela4[[#This Row],[VALOR VENDA]]-Tabela4[[#This Row],[TAXA]]</f>
        <v>250</v>
      </c>
      <c r="T5" s="47">
        <f>Tabela4[[#This Row],[QT]]*Tabela4[[#This Row],[VALOR VENDA]]-Tabela4[[#This Row],[TOTAL CUSTO]]</f>
        <v>181</v>
      </c>
      <c r="U5" s="48">
        <f>IF(O5=0,0,Tabela4[[#This Row],[LUCRO]]/Tabela4[[#This Row],[TOTAL CUSTO]])</f>
        <v>2.6231884057971016</v>
      </c>
    </row>
    <row r="6" spans="1:25" x14ac:dyDescent="0.3">
      <c r="A6" s="44">
        <v>3</v>
      </c>
      <c r="B6" s="44">
        <v>0</v>
      </c>
      <c r="C6" s="44">
        <v>36</v>
      </c>
      <c r="D6" s="44" t="s">
        <v>52</v>
      </c>
      <c r="E6" s="44" t="s">
        <v>55</v>
      </c>
      <c r="F6" s="44" t="s">
        <v>66</v>
      </c>
      <c r="G6" s="44">
        <v>1</v>
      </c>
      <c r="H6" s="44" t="s">
        <v>28</v>
      </c>
      <c r="I6" s="76" t="s">
        <v>53</v>
      </c>
      <c r="J6" s="45">
        <v>12</v>
      </c>
      <c r="K6" s="45">
        <v>25</v>
      </c>
      <c r="L6" s="45">
        <v>7</v>
      </c>
      <c r="M6" s="45">
        <v>25</v>
      </c>
      <c r="N6" s="37">
        <v>0</v>
      </c>
      <c r="O6" s="46">
        <f>Tabela4[[#This Row],[MONTAGEM]]+Tabela4[[#This Row],[ARMAÇÃO]]+Tabela4[[#This Row],[CAIXINHA/SPRAY]]+Tabela4[[#This Row],[LENTE]]+Tabela4[[#This Row],[TAXA]]</f>
        <v>69</v>
      </c>
      <c r="P6" s="61">
        <v>399.9</v>
      </c>
      <c r="Q6" s="61">
        <v>0</v>
      </c>
      <c r="R6" s="50">
        <f>IF(Tabela4[[#This Row],[SINAL]]=0,0,Tabela4[[#This Row],[VALOR VENDA]]-Tabela4[[#This Row],[SINAL]])</f>
        <v>0</v>
      </c>
      <c r="S6" s="47">
        <f>Tabela4[[#This Row],[VALOR VENDA]]-Tabela4[[#This Row],[TAXA]]</f>
        <v>399.9</v>
      </c>
      <c r="T6" s="47">
        <f>Tabela4[[#This Row],[QT]]*Tabela4[[#This Row],[VALOR VENDA]]-Tabela4[[#This Row],[TOTAL CUSTO]]</f>
        <v>330.9</v>
      </c>
      <c r="U6" s="48">
        <f>IF(O6=0,0,Tabela4[[#This Row],[LUCRO]]/Tabela4[[#This Row],[TOTAL CUSTO]])</f>
        <v>4.7956521739130435</v>
      </c>
    </row>
    <row r="7" spans="1:25" x14ac:dyDescent="0.3">
      <c r="A7" s="44">
        <v>4</v>
      </c>
      <c r="B7" s="44">
        <v>0</v>
      </c>
      <c r="C7" s="44">
        <v>37</v>
      </c>
      <c r="D7" s="44" t="s">
        <v>58</v>
      </c>
      <c r="E7" s="44" t="s">
        <v>64</v>
      </c>
      <c r="F7" s="44" t="s">
        <v>65</v>
      </c>
      <c r="G7" s="44">
        <v>1</v>
      </c>
      <c r="H7" s="44" t="s">
        <v>26</v>
      </c>
      <c r="I7" s="76" t="s">
        <v>59</v>
      </c>
      <c r="J7" s="45">
        <v>12</v>
      </c>
      <c r="K7" s="45">
        <v>25</v>
      </c>
      <c r="L7" s="45">
        <v>7</v>
      </c>
      <c r="M7" s="45">
        <v>0</v>
      </c>
      <c r="N7" s="37">
        <v>21.88</v>
      </c>
      <c r="O7" s="46">
        <f>Tabela4[[#This Row],[MONTAGEM]]+Tabela4[[#This Row],[ARMAÇÃO]]+Tabela4[[#This Row],[CAIXINHA/SPRAY]]+Tabela4[[#This Row],[LENTE]]+Tabela4[[#This Row],[TAXA]]</f>
        <v>65.88</v>
      </c>
      <c r="P7" s="61">
        <v>400</v>
      </c>
      <c r="Q7" s="61">
        <v>0</v>
      </c>
      <c r="R7" s="50">
        <f>IF(Tabela4[[#This Row],[SINAL]]=0,0,Tabela4[[#This Row],[VALOR VENDA]]-Tabela4[[#This Row],[SINAL]])</f>
        <v>0</v>
      </c>
      <c r="S7" s="47">
        <f>Tabela4[[#This Row],[VALOR VENDA]]-Tabela4[[#This Row],[TAXA]]</f>
        <v>378.12</v>
      </c>
      <c r="T7" s="47">
        <f>Tabela4[[#This Row],[QT]]*Tabela4[[#This Row],[VALOR VENDA]]-Tabela4[[#This Row],[TOTAL CUSTO]]</f>
        <v>334.12</v>
      </c>
      <c r="U7" s="48">
        <f>IF(O7=0,0,Tabela4[[#This Row],[LUCRO]]/Tabela4[[#This Row],[TOTAL CUSTO]])</f>
        <v>5.0716454159077111</v>
      </c>
    </row>
    <row r="8" spans="1:25" x14ac:dyDescent="0.3">
      <c r="A8" s="44">
        <v>5</v>
      </c>
      <c r="B8" s="44">
        <v>0</v>
      </c>
      <c r="C8" s="44">
        <v>38</v>
      </c>
      <c r="D8" s="44" t="s">
        <v>71</v>
      </c>
      <c r="E8" s="44" t="s">
        <v>70</v>
      </c>
      <c r="F8" s="44" t="s">
        <v>72</v>
      </c>
      <c r="G8" s="44">
        <v>1</v>
      </c>
      <c r="H8" s="44" t="s">
        <v>26</v>
      </c>
      <c r="I8" s="76" t="s">
        <v>67</v>
      </c>
      <c r="J8" s="45">
        <v>12</v>
      </c>
      <c r="K8" s="45">
        <v>25</v>
      </c>
      <c r="L8" s="45">
        <v>7</v>
      </c>
      <c r="M8" s="45">
        <v>25</v>
      </c>
      <c r="N8" s="37">
        <v>0</v>
      </c>
      <c r="O8" s="46">
        <f>Tabela4[[#This Row],[MONTAGEM]]+Tabela4[[#This Row],[ARMAÇÃO]]+Tabela4[[#This Row],[CAIXINHA/SPRAY]]+Tabela4[[#This Row],[LENTE]]+Tabela4[[#This Row],[TAXA]]</f>
        <v>69</v>
      </c>
      <c r="P8" s="61">
        <v>260</v>
      </c>
      <c r="Q8" s="61">
        <v>0</v>
      </c>
      <c r="R8" s="50">
        <f>IF(Tabela4[[#This Row],[SINAL]]=0,0,Tabela4[[#This Row],[VALOR VENDA]]-Tabela4[[#This Row],[SINAL]])</f>
        <v>0</v>
      </c>
      <c r="S8" s="47">
        <f>Tabela4[[#This Row],[VALOR VENDA]]-Tabela4[[#This Row],[TAXA]]</f>
        <v>260</v>
      </c>
      <c r="T8" s="47">
        <f>Tabela4[[#This Row],[QT]]*Tabela4[[#This Row],[VALOR VENDA]]-Tabela4[[#This Row],[TOTAL CUSTO]]</f>
        <v>191</v>
      </c>
      <c r="U8" s="48">
        <f>IF(O8=0,0,Tabela4[[#This Row],[LUCRO]]/Tabela4[[#This Row],[TOTAL CUSTO]])</f>
        <v>2.7681159420289854</v>
      </c>
    </row>
    <row r="9" spans="1:25" x14ac:dyDescent="0.3">
      <c r="A9" s="44">
        <v>6</v>
      </c>
      <c r="B9" s="44">
        <v>0</v>
      </c>
      <c r="C9" s="44">
        <v>34</v>
      </c>
      <c r="D9" s="44" t="s">
        <v>75</v>
      </c>
      <c r="E9" s="44" t="s">
        <v>81</v>
      </c>
      <c r="F9" s="44" t="s">
        <v>83</v>
      </c>
      <c r="G9" s="44">
        <v>1</v>
      </c>
      <c r="H9" s="44" t="s">
        <v>26</v>
      </c>
      <c r="I9" s="76" t="s">
        <v>78</v>
      </c>
      <c r="J9" s="45">
        <v>12</v>
      </c>
      <c r="K9" s="45">
        <v>25</v>
      </c>
      <c r="L9" s="45">
        <v>7</v>
      </c>
      <c r="M9" s="45">
        <v>119</v>
      </c>
      <c r="N9" s="37">
        <v>40.950000000000003</v>
      </c>
      <c r="O9" s="46">
        <f>Tabela4[[#This Row],[MONTAGEM]]+Tabela4[[#This Row],[ARMAÇÃO]]+Tabela4[[#This Row],[CAIXINHA/SPRAY]]+Tabela4[[#This Row],[LENTE]]+Tabela4[[#This Row],[TAXA]]</f>
        <v>203.95</v>
      </c>
      <c r="P9" s="61">
        <v>750</v>
      </c>
      <c r="Q9" s="61">
        <v>0</v>
      </c>
      <c r="R9" s="50">
        <f>IF(Tabela4[[#This Row],[SINAL]]=0,0,Tabela4[[#This Row],[VALOR VENDA]]-Tabela4[[#This Row],[SINAL]])</f>
        <v>0</v>
      </c>
      <c r="S9" s="47">
        <f>Tabela4[[#This Row],[VALOR VENDA]]-Tabela4[[#This Row],[TAXA]]</f>
        <v>709.05</v>
      </c>
      <c r="T9" s="47">
        <f>Tabela4[[#This Row],[QT]]*Tabela4[[#This Row],[VALOR VENDA]]-Tabela4[[#This Row],[TOTAL CUSTO]]</f>
        <v>546.04999999999995</v>
      </c>
      <c r="U9" s="48">
        <f>IF(O9=0,0,Tabela4[[#This Row],[LUCRO]]/Tabela4[[#This Row],[TOTAL CUSTO]])</f>
        <v>2.6773719048786466</v>
      </c>
    </row>
    <row r="10" spans="1:25" x14ac:dyDescent="0.3">
      <c r="A10" s="44">
        <v>7</v>
      </c>
      <c r="B10" s="44">
        <v>0</v>
      </c>
      <c r="C10" s="44" t="s">
        <v>85</v>
      </c>
      <c r="D10" s="4" t="s">
        <v>84</v>
      </c>
      <c r="E10" s="44" t="s">
        <v>87</v>
      </c>
      <c r="F10" s="44" t="s">
        <v>88</v>
      </c>
      <c r="G10" s="44">
        <v>1</v>
      </c>
      <c r="H10" s="44" t="s">
        <v>28</v>
      </c>
      <c r="I10" s="76" t="s">
        <v>78</v>
      </c>
      <c r="J10" s="45">
        <v>12</v>
      </c>
      <c r="K10" s="45">
        <v>25</v>
      </c>
      <c r="L10" s="45">
        <v>7</v>
      </c>
      <c r="M10" s="45">
        <v>119</v>
      </c>
      <c r="N10" s="37">
        <v>0</v>
      </c>
      <c r="O10" s="46">
        <f>Tabela4[[#This Row],[MONTAGEM]]+Tabela4[[#This Row],[ARMAÇÃO]]+Tabela4[[#This Row],[CAIXINHA/SPRAY]]+Tabela4[[#This Row],[LENTE]]+Tabela4[[#This Row],[TAXA]]</f>
        <v>163</v>
      </c>
      <c r="P10" s="61">
        <v>750</v>
      </c>
      <c r="Q10" s="61">
        <v>0</v>
      </c>
      <c r="R10" s="50">
        <f>IF(Tabela4[[#This Row],[SINAL]]=0,0,Tabela4[[#This Row],[VALOR VENDA]]-Tabela4[[#This Row],[SINAL]])</f>
        <v>0</v>
      </c>
      <c r="S10" s="47">
        <f>Tabela4[[#This Row],[VALOR VENDA]]-Tabela4[[#This Row],[TAXA]]</f>
        <v>750</v>
      </c>
      <c r="T10" s="47">
        <f>Tabela4[[#This Row],[QT]]*Tabela4[[#This Row],[VALOR VENDA]]-Tabela4[[#This Row],[TOTAL CUSTO]]</f>
        <v>587</v>
      </c>
      <c r="U10" s="48">
        <f>IF(O10=0,0,Tabela4[[#This Row],[LUCRO]]/Tabela4[[#This Row],[TOTAL CUSTO]])</f>
        <v>3.6012269938650308</v>
      </c>
    </row>
    <row r="11" spans="1:25" x14ac:dyDescent="0.3">
      <c r="A11" s="44"/>
      <c r="B11" s="44"/>
      <c r="C11" s="44"/>
      <c r="D11" s="88"/>
      <c r="E11" s="44"/>
      <c r="F11" s="44"/>
      <c r="G11" s="44"/>
      <c r="H11" s="44"/>
      <c r="I11" s="89"/>
      <c r="J11" s="45"/>
      <c r="K11" s="45"/>
      <c r="L11" s="45"/>
      <c r="M11" s="45"/>
      <c r="N11" s="45">
        <f ca="1">IF(N11=0,0)</f>
        <v>0</v>
      </c>
      <c r="O11" s="46">
        <f ca="1">Tabela4[[#This Row],[MONTAGEM]]+Tabela4[[#This Row],[ARMAÇÃO]]+Tabela4[[#This Row],[CAIXINHA/SPRAY]]+Tabela4[[#This Row],[LENTE]]+Tabela4[[#This Row],[TAXA]]</f>
        <v>0</v>
      </c>
      <c r="P11" s="61"/>
      <c r="Q11" s="90">
        <f ca="1">IF(Q11=0,0)</f>
        <v>0</v>
      </c>
      <c r="R11" s="46">
        <f ca="1">IF(Tabela4[[#This Row],[SINAL]]=0,0,Tabela4[[#This Row],[VALOR VENDA]]-Tabela4[[#This Row],[SINAL]])</f>
        <v>0</v>
      </c>
      <c r="S11" s="46">
        <f ca="1">Tabela4[[#This Row],[VALOR VENDA]]-Tabela4[[#This Row],[TAXA]]</f>
        <v>0</v>
      </c>
      <c r="T11" s="47">
        <f ca="1">Tabela4[[#This Row],[QT]]*Tabela4[[#This Row],[VALOR VENDA]]-Tabela4[[#This Row],[TOTAL CUSTO]]</f>
        <v>0</v>
      </c>
      <c r="U11" s="48">
        <f ca="1">IF(O11=0,0,Tabela4[[#This Row],[LUCRO]]/Tabela4[[#This Row],[TOTAL CUSTO]])</f>
        <v>0</v>
      </c>
    </row>
    <row r="12" spans="1:25" x14ac:dyDescent="0.3">
      <c r="O12" s="66"/>
      <c r="P12" s="39"/>
      <c r="Q12" s="39"/>
      <c r="R12" s="66"/>
    </row>
    <row r="13" spans="1:25" x14ac:dyDescent="0.3">
      <c r="O13" s="66"/>
      <c r="P13" s="39"/>
      <c r="Q13" s="39"/>
      <c r="R13" s="66"/>
    </row>
    <row r="14" spans="1:25" x14ac:dyDescent="0.3">
      <c r="O14" s="66"/>
      <c r="P14" s="39"/>
      <c r="Q14" s="39"/>
      <c r="R14" s="66"/>
    </row>
    <row r="15" spans="1:25" x14ac:dyDescent="0.3">
      <c r="N15" s="63"/>
      <c r="O15" s="66"/>
      <c r="P15" s="39"/>
      <c r="Q15" s="39"/>
      <c r="R15" s="66"/>
    </row>
    <row r="16" spans="1:25" x14ac:dyDescent="0.3">
      <c r="O16" s="66"/>
      <c r="P16" s="39"/>
      <c r="Q16" s="39"/>
      <c r="R16" s="66"/>
    </row>
    <row r="17" spans="15:18" x14ac:dyDescent="0.3">
      <c r="O17" s="66"/>
      <c r="P17" s="39"/>
      <c r="Q17" s="39"/>
      <c r="R17" s="66"/>
    </row>
    <row r="18" spans="15:18" x14ac:dyDescent="0.3">
      <c r="O18" s="66"/>
      <c r="P18" s="39"/>
      <c r="Q18" s="39"/>
      <c r="R18" s="66"/>
    </row>
    <row r="19" spans="15:18" x14ac:dyDescent="0.3">
      <c r="O19" s="66"/>
      <c r="P19" s="39"/>
      <c r="Q19" s="39"/>
      <c r="R19" s="66"/>
    </row>
    <row r="20" spans="15:18" x14ac:dyDescent="0.3">
      <c r="O20" s="66"/>
      <c r="P20" s="39"/>
      <c r="Q20" s="39"/>
      <c r="R20" s="66"/>
    </row>
  </sheetData>
  <sheetProtection algorithmName="SHA-512" hashValue="upOprLvZyErYt4Reg0HCAD3i9oBbJn0HMo4j+Ft/xTaC/IUfEqRc4Px0yYjFQCUDo+YtqVK5x9LEDYMX6AazhA==" saltValue="VG5b2TSsBh9ivH8R65DJBw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Z15" sqref="Z15"/>
    </sheetView>
  </sheetViews>
  <sheetFormatPr defaultColWidth="8.88671875" defaultRowHeight="14.4" x14ac:dyDescent="0.3"/>
  <cols>
    <col min="1" max="16384" width="8.88671875" style="29"/>
  </cols>
  <sheetData>
    <row r="1" spans="1:26" s="9" customFormat="1" ht="49.95" customHeight="1" x14ac:dyDescent="0.3">
      <c r="A1" s="23"/>
      <c r="B1" s="24"/>
      <c r="C1" s="24"/>
      <c r="D1" s="24"/>
      <c r="E1" s="24"/>
      <c r="F1" s="96" t="s">
        <v>37</v>
      </c>
      <c r="G1" s="96"/>
      <c r="H1" s="96"/>
      <c r="I1" s="96"/>
      <c r="J1" s="96"/>
      <c r="K1" s="24"/>
      <c r="L1" s="24"/>
      <c r="M1" s="24"/>
      <c r="N1" s="24"/>
      <c r="O1" s="24"/>
      <c r="P1" s="25"/>
      <c r="Q1" s="25"/>
      <c r="R1" s="25"/>
      <c r="S1" s="26"/>
      <c r="T1" s="24"/>
      <c r="U1" s="27"/>
      <c r="V1" s="24"/>
      <c r="W1" s="28"/>
      <c r="X1" s="11"/>
      <c r="Y1" s="11"/>
      <c r="Z1" s="11"/>
    </row>
  </sheetData>
  <sheetProtection algorithmName="SHA-512" hashValue="F8WFtEbLa9vuagvXrTJSoUaSHopEKGIkQkwIdFHpcYQiOWlLYa4WYyONWaDGQqsANQcjflk3Jv7bC5ypflSvyQ==" saltValue="Q/IQn6/EjlTEqBXzRmtAHA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4" customWidth="1"/>
    <col min="2" max="2" width="6.33203125" style="14" customWidth="1"/>
    <col min="3" max="3" width="13.44140625" style="14" customWidth="1"/>
    <col min="4" max="4" width="9" style="42" customWidth="1"/>
    <col min="5" max="5" width="8.88671875" style="42"/>
    <col min="6" max="16384" width="8.88671875" style="14"/>
  </cols>
  <sheetData>
    <row r="1" spans="1:5" ht="31.2" customHeight="1" x14ac:dyDescent="0.3">
      <c r="A1" s="35" t="s">
        <v>21</v>
      </c>
      <c r="B1" s="13" t="s">
        <v>34</v>
      </c>
      <c r="C1" s="13" t="s">
        <v>36</v>
      </c>
      <c r="D1" s="40" t="s">
        <v>25</v>
      </c>
      <c r="E1" s="40" t="s">
        <v>35</v>
      </c>
    </row>
    <row r="2" spans="1:5" x14ac:dyDescent="0.3">
      <c r="A2" s="36" t="s">
        <v>28</v>
      </c>
      <c r="B2" s="15">
        <v>1</v>
      </c>
      <c r="C2" s="16" t="str">
        <f>IF(B2=1,"janeiro","")</f>
        <v>janeiro</v>
      </c>
      <c r="D2" s="41">
        <f ca="1">SUMPRODUCT((MONTH(Tabela4[DATA])=B2)*(Tabela4[LUCRO]))</f>
        <v>2674.17</v>
      </c>
      <c r="E2" s="41">
        <f ca="1">SUMPRODUCT((MONTH(Tabela4[DATA])=B2)*(Tabela4[TOTAL CUSTO]))</f>
        <v>885.73</v>
      </c>
    </row>
    <row r="3" spans="1:5" x14ac:dyDescent="0.3">
      <c r="A3" s="36" t="s">
        <v>27</v>
      </c>
      <c r="B3" s="15">
        <v>2</v>
      </c>
      <c r="C3" s="16" t="str">
        <f>IF(B3=2,"Fevereiro","")</f>
        <v>Fevereiro</v>
      </c>
      <c r="D3" s="41">
        <f ca="1">SUMPRODUCT((MONTH(Tabela4[DATA])=B3)*(Tabela4[LUCRO]))</f>
        <v>0</v>
      </c>
      <c r="E3" s="41">
        <f ca="1">SUMPRODUCT((MONTH(Tabela4[DATA])=B3)*(Tabela4[TOTAL CUSTO]))</f>
        <v>0</v>
      </c>
    </row>
    <row r="4" spans="1:5" x14ac:dyDescent="0.3">
      <c r="A4" s="36" t="s">
        <v>26</v>
      </c>
      <c r="B4" s="15">
        <v>3</v>
      </c>
      <c r="C4" s="16" t="str">
        <f>IF(B4=3,"Março","")</f>
        <v>Março</v>
      </c>
      <c r="D4" s="41">
        <f ca="1">SUMPRODUCT((MONTH(Tabela4[DATA])=B4)*(Tabela4[LUCRO]))</f>
        <v>0</v>
      </c>
      <c r="E4" s="41">
        <f ca="1">SUMPRODUCT((MONTH(Tabela4[DATA])=B4)*(Tabela4[TOTAL CUSTO]))</f>
        <v>0</v>
      </c>
    </row>
    <row r="5" spans="1:5" x14ac:dyDescent="0.3">
      <c r="A5" s="36" t="s">
        <v>29</v>
      </c>
      <c r="B5" s="15">
        <v>4</v>
      </c>
      <c r="C5" s="16" t="str">
        <f>IF(B5=4,"Abril","")</f>
        <v>Abril</v>
      </c>
      <c r="D5" s="41">
        <f ca="1">SUMPRODUCT((MONTH(Tabela4[DATA])=B5)*(Tabela4[LUCRO]))</f>
        <v>0</v>
      </c>
      <c r="E5" s="41">
        <f ca="1">SUMPRODUCT((MONTH(Tabela4[DATA])=B5)*(Tabela4[TOTAL CUSTO]))</f>
        <v>0</v>
      </c>
    </row>
    <row r="6" spans="1:5" x14ac:dyDescent="0.3">
      <c r="B6" s="15">
        <v>5</v>
      </c>
      <c r="C6" s="16" t="str">
        <f>IF(B6=5,"Maio","")</f>
        <v>Maio</v>
      </c>
      <c r="D6" s="41">
        <f ca="1">SUMPRODUCT((MONTH(Tabela4[DATA])=B6)*(Tabela4[LUCRO]))</f>
        <v>0</v>
      </c>
      <c r="E6" s="41">
        <f ca="1">SUMPRODUCT((MONTH(Tabela4[DATA])=B6)*(Tabela4[TOTAL CUSTO]))</f>
        <v>0</v>
      </c>
    </row>
    <row r="7" spans="1:5" x14ac:dyDescent="0.3">
      <c r="B7" s="15">
        <v>6</v>
      </c>
      <c r="C7" s="16" t="str">
        <f>IF(B7=6,"Junho","")</f>
        <v>Junho</v>
      </c>
      <c r="D7" s="41">
        <f ca="1">SUMPRODUCT((MONTH(Tabela4[DATA])=B7)*(Tabela4[LUCRO]))</f>
        <v>0</v>
      </c>
      <c r="E7" s="41">
        <f ca="1">SUMPRODUCT((MONTH(Tabela4[DATA])=B7)*(Tabela4[TOTAL CUSTO]))</f>
        <v>0</v>
      </c>
    </row>
    <row r="8" spans="1:5" x14ac:dyDescent="0.3">
      <c r="B8" s="15">
        <v>7</v>
      </c>
      <c r="C8" s="16" t="str">
        <f>IF(B8=7,"Julho","")</f>
        <v>Julho</v>
      </c>
      <c r="D8" s="41">
        <f ca="1">SUMPRODUCT((MONTH(Tabela4[DATA])=B8)*(Tabela4[LUCRO]))</f>
        <v>0</v>
      </c>
      <c r="E8" s="41">
        <f ca="1">SUMPRODUCT((MONTH(Tabela4[DATA])=B8)*(Tabela4[TOTAL CUSTO]))</f>
        <v>0</v>
      </c>
    </row>
    <row r="9" spans="1:5" x14ac:dyDescent="0.3">
      <c r="B9" s="15">
        <v>8</v>
      </c>
      <c r="C9" s="16" t="str">
        <f>IF(B9=8,"Agosto","")</f>
        <v>Agosto</v>
      </c>
      <c r="D9" s="41">
        <f ca="1">SUMPRODUCT((MONTH(Tabela4[DATA])=B9)*(Tabela4[LUCRO]))</f>
        <v>0</v>
      </c>
      <c r="E9" s="41">
        <f ca="1">SUMPRODUCT((MONTH(Tabela4[DATA])=B9)*(Tabela4[TOTAL CUSTO]))</f>
        <v>0</v>
      </c>
    </row>
    <row r="10" spans="1:5" x14ac:dyDescent="0.3">
      <c r="B10" s="15">
        <v>9</v>
      </c>
      <c r="C10" s="16" t="str">
        <f>IF(B10=9,"Setembro","")</f>
        <v>Setembro</v>
      </c>
      <c r="D10" s="41">
        <f ca="1">SUMPRODUCT((MONTH(Tabela4[DATA])=B10)*(Tabela4[LUCRO]))</f>
        <v>0</v>
      </c>
      <c r="E10" s="41">
        <f ca="1">SUMPRODUCT((MONTH(Tabela4[DATA])=B10)*(Tabela4[TOTAL CUSTO]))</f>
        <v>0</v>
      </c>
    </row>
    <row r="11" spans="1:5" x14ac:dyDescent="0.3">
      <c r="B11" s="15">
        <v>10</v>
      </c>
      <c r="C11" s="16" t="str">
        <f>IF(B11=10,"Outubro","")</f>
        <v>Outubro</v>
      </c>
      <c r="D11" s="41">
        <f ca="1">SUMPRODUCT((MONTH(Tabela4[DATA])=B11)*(Tabela4[LUCRO]))</f>
        <v>0</v>
      </c>
      <c r="E11" s="41">
        <f ca="1">SUMPRODUCT((MONTH(Tabela4[DATA])=B11)*(Tabela4[TOTAL CUSTO]))</f>
        <v>0</v>
      </c>
    </row>
    <row r="12" spans="1:5" x14ac:dyDescent="0.3">
      <c r="B12" s="15">
        <v>11</v>
      </c>
      <c r="C12" s="16" t="str">
        <f>IF(B12=11,"Novembro","")</f>
        <v>Novembro</v>
      </c>
      <c r="D12" s="41">
        <f ca="1">SUMPRODUCT((MONTH(Tabela4[DATA])=B12)*(Tabela4[LUCRO]))</f>
        <v>0</v>
      </c>
      <c r="E12" s="41">
        <f ca="1">SUMPRODUCT((MONTH(Tabela4[DATA])=B12)*(Tabela4[TOTAL CUSTO]))</f>
        <v>0</v>
      </c>
    </row>
    <row r="13" spans="1:5" x14ac:dyDescent="0.3">
      <c r="B13" s="15">
        <v>12</v>
      </c>
      <c r="C13" s="16" t="str">
        <f>IF(B13=12,"Dezembro","")</f>
        <v>Dezembro</v>
      </c>
      <c r="D13" s="41">
        <f ca="1">SUMPRODUCT((MONTH(Tabela4[DATA])=B13)*(Tabela4[LUCRO]))</f>
        <v>0</v>
      </c>
      <c r="E13" s="41">
        <f ca="1">SUMPRODUCT((MONTH(Tabela4[DATA])=B13)*(Tabela4[TOTAL CUSTO]))</f>
        <v>0</v>
      </c>
    </row>
  </sheetData>
  <sheetProtection algorithmName="SHA-512" hashValue="n7mbe4bxd77rcIHGXMQtHIsE7CiMQ0loz2ACWfYiYXGVPgug8/dINY51DY80y/lcGv4pCHzpPJiKuXh2LS9C+A==" saltValue="y9xpUUPq4AJu7OlXvKwEYw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2023-01-31T08:56:40Z</dcterms:modified>
</cp:coreProperties>
</file>