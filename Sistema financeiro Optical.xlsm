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6CAACAA3-7711-4A02-8501-218B8B8D7EB2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DADOS SISTEMA" sheetId="10" r:id="rId4"/>
  </sheets>
  <definedNames>
    <definedName name="forma_pagamento">'DADOS SISTEMA'!$A$2:$A$5</definedName>
    <definedName name="ID">'DADOS CADASTRO'!$AE$2</definedName>
    <definedName name="ID_vendas">'DADOS VENDAS'!$U$2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9" l="1"/>
  <c r="Q5" i="9" s="1"/>
  <c r="R5" i="9" s="1"/>
  <c r="S5" i="9" s="1"/>
  <c r="P4" i="9"/>
  <c r="Q4" i="9" s="1"/>
  <c r="R4" i="9" s="1"/>
  <c r="S4" i="9" s="1"/>
  <c r="P3" i="9"/>
  <c r="Q3" i="9" s="1"/>
  <c r="R3" i="9" s="1"/>
  <c r="S3" i="9" l="1"/>
</calcChain>
</file>

<file path=xl/sharedStrings.xml><?xml version="1.0" encoding="utf-8"?>
<sst xmlns="http://schemas.openxmlformats.org/spreadsheetml/2006/main" count="72" uniqueCount="61">
  <si>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</si>
  <si>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</si>
  <si>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</si>
  <si>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</si>
  <si>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</si>
  <si>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</si>
  <si>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</si>
  <si>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</si>
  <si>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</si>
  <si>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</si>
  <si>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</si>
  <si>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</si>
  <si>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</si>
  <si>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</si>
  <si>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</si>
  <si>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</si>
  <si>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</si>
  <si>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</si>
  <si>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</si>
  <si>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</si>
  <si>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</si>
  <si>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</si>
  <si>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</si>
  <si>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</si>
  <si>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</si>
  <si>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</si>
  <si>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</si>
  <si>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</si>
  <si>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</si>
  <si>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</si>
  <si>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 xml:space="preserve">NOME </t>
  </si>
  <si>
    <t>TIPO LENTE</t>
  </si>
  <si>
    <t>DESCRIÇÃO</t>
  </si>
  <si>
    <t>QT</t>
  </si>
  <si>
    <t>VALOR</t>
  </si>
  <si>
    <t>F/P</t>
  </si>
  <si>
    <t>DESCONTO</t>
  </si>
  <si>
    <t>ARMAÇÃO</t>
  </si>
  <si>
    <t>CAIXINHA/SPRAY</t>
  </si>
  <si>
    <t>LENTE</t>
  </si>
  <si>
    <t>TAXAS</t>
  </si>
  <si>
    <t>SUBTOTAL</t>
  </si>
  <si>
    <t>LUCRO</t>
  </si>
  <si>
    <t>TOTAL DE CUSTO</t>
  </si>
  <si>
    <t>TAXA/CONVERTIDA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</si>
  <si>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</si>
  <si>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</si>
  <si>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</si>
  <si>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</si>
  <si>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</si>
  <si>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</si>
  <si>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</si>
  <si>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tiago moreira pimentel</t>
  </si>
  <si>
    <t>rua gilberto carvalho n 201</t>
  </si>
  <si>
    <t>sem observação</t>
  </si>
  <si>
    <t>13/01/2023</t>
  </si>
  <si>
    <t>SISTEMA FINANCEIRO DA boa visão</t>
  </si>
  <si>
    <t xml:space="preserve">breno marques </t>
  </si>
  <si>
    <t>policarbonato blue uv+ armação</t>
  </si>
  <si>
    <t xml:space="preserve">Multifocal blue uv </t>
  </si>
  <si>
    <t xml:space="preserve">Armação do cliente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</si>
</sst>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2" fontId="4" fillId="3" borderId="9" xfId="0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2" fontId="6" fillId="8" borderId="9" xfId="0" applyNumberFormat="1" applyFont="1" applyFill="1" applyBorder="1" applyAlignment="1">
      <alignment horizontal="center" vertical="center"/>
    </xf>
    <xf numFmtId="10" fontId="6" fillId="8" borderId="9" xfId="0" applyNumberFormat="1" applyFont="1" applyFill="1" applyBorder="1" applyAlignment="1">
      <alignment horizontal="center" vertical="center"/>
    </xf>
    <xf numFmtId="2" fontId="7" fillId="8" borderId="9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8" fillId="9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10" borderId="0" xfId="0" applyFill="1" applyAlignment="1">
      <alignment vertical="center"/>
    </xf>
    <xf numFmtId="2" fontId="0" fillId="10" borderId="0" xfId="0" applyNumberFormat="1" applyFill="1" applyAlignment="1">
      <alignment vertical="center"/>
    </xf>
    <xf numFmtId="10" fontId="0" fillId="10" borderId="0" xfId="0" applyNumberFormat="1" applyFill="1" applyAlignment="1">
      <alignment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/>
    </xf>
    <xf numFmtId="164" fontId="0" fillId="5" borderId="2" xfId="0" applyNumberFormat="1" applyFill="1" applyBorder="1" applyAlignment="1" applyProtection="1">
      <alignment horizontal="left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0" fontId="3" fillId="10" borderId="1" xfId="0" applyFont="1" applyFill="1" applyBorder="1" applyAlignment="1">
      <alignment horizontal="left"/>
    </xf>
    <xf numFmtId="0" fontId="10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0" fillId="5" borderId="3" xfId="0" applyFont="1" applyFill="1" applyBorder="1" applyAlignment="1" applyProtection="1">
      <alignment horizontal="center" vertical="center"/>
      <protection locked="0"/>
    </xf>
    <xf numFmtId="0" fontId="0" fillId="5" borderId="2" xfId="0" applyFont="1" applyFill="1" applyBorder="1" applyAlignment="1" applyProtection="1">
      <alignment horizontal="center" vertical="center"/>
      <protection locked="0"/>
    </xf>
    <xf numFmtId="165" fontId="0" fillId="5" borderId="2" xfId="0" applyNumberFormat="1" applyFont="1" applyFill="1" applyBorder="1" applyAlignment="1" applyProtection="1">
      <alignment horizontal="center" vertical="center"/>
      <protection locked="0"/>
    </xf>
    <xf numFmtId="164" fontId="0" fillId="5" borderId="2" xfId="0" applyNumberFormat="1" applyFont="1" applyFill="1" applyBorder="1" applyAlignment="1" applyProtection="1">
      <alignment horizontal="left" vertical="center"/>
      <protection locked="0"/>
    </xf>
    <xf numFmtId="164" fontId="0" fillId="5" borderId="3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horizontal="center" vertical="center"/>
    </xf>
    <xf numFmtId="0" fontId="11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56"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365760</xdr:colOff>
      <xdr:row>4</xdr:row>
      <xdr:rowOff>106680</xdr:rowOff>
    </xdr:from>
    <xdr:to>
      <xdr:col>9</xdr:col>
      <xdr:colOff>53340</xdr:colOff>
      <xdr:row>9</xdr:row>
      <xdr:rowOff>129540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4023360" y="15468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327660</xdr:colOff>
      <xdr:row>13</xdr:row>
      <xdr:rowOff>76200</xdr:rowOff>
    </xdr:from>
    <xdr:to>
      <xdr:col>9</xdr:col>
      <xdr:colOff>15240</xdr:colOff>
      <xdr:row>18</xdr:row>
      <xdr:rowOff>99060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3985260" y="3162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38100</xdr:colOff>
      <xdr:row>4</xdr:row>
      <xdr:rowOff>53339</xdr:rowOff>
    </xdr:from>
    <xdr:to>
      <xdr:col>3</xdr:col>
      <xdr:colOff>517708</xdr:colOff>
      <xdr:row>9</xdr:row>
      <xdr:rowOff>172026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257300" y="149351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133305</xdr:colOff>
      <xdr:row>13</xdr:row>
      <xdr:rowOff>15375</xdr:rowOff>
    </xdr:from>
    <xdr:to>
      <xdr:col>3</xdr:col>
      <xdr:colOff>392021</xdr:colOff>
      <xdr:row>18</xdr:row>
      <xdr:rowOff>72966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1352505" y="310147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1028700</xdr:colOff>
      <xdr:row>0</xdr:row>
      <xdr:rowOff>167640</xdr:rowOff>
    </xdr:from>
    <xdr:to>
      <xdr:col>3</xdr:col>
      <xdr:colOff>192360</xdr:colOff>
      <xdr:row>0</xdr:row>
      <xdr:rowOff>527640</xdr:rowOff>
    </xdr:to>
    <xdr:pic macro="[0]!apagarCadastro">
      <xdr:nvPicPr>
        <xdr:cNvPr id="10" name="Imagem 9">
          <a:extLst>
            <a:ext uri="{FF2B5EF4-FFF2-40B4-BE49-F238E27FC236}">
              <a16:creationId xmlns:a16="http://schemas.microsoft.com/office/drawing/2014/main" id="{0EC666B2-2800-CD24-B7D9-C3F711197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40" y="1676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162419</xdr:colOff>
      <xdr:row>0</xdr:row>
      <xdr:rowOff>201193</xdr:rowOff>
    </xdr:from>
    <xdr:to>
      <xdr:col>3</xdr:col>
      <xdr:colOff>522419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9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2</xdr:col>
      <xdr:colOff>946740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276180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0</xdr:col>
      <xdr:colOff>588600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1592580</xdr:colOff>
      <xdr:row>0</xdr:row>
      <xdr:rowOff>175260</xdr:rowOff>
    </xdr:from>
    <xdr:to>
      <xdr:col>3</xdr:col>
      <xdr:colOff>1952580</xdr:colOff>
      <xdr:row>0</xdr:row>
      <xdr:rowOff>535260</xdr:rowOff>
    </xdr:to>
    <xdr:pic macro="[0]!apagarCadastro">
      <xdr:nvPicPr>
        <xdr:cNvPr id="9" name="Imagem 8">
          <a:extLst>
            <a:ext uri="{FF2B5EF4-FFF2-40B4-BE49-F238E27FC236}">
              <a16:creationId xmlns:a16="http://schemas.microsoft.com/office/drawing/2014/main" id="{06CC5E78-E319-4FD1-AA13-5F31D3144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626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739140</xdr:colOff>
      <xdr:row>0</xdr:row>
      <xdr:rowOff>137160</xdr:rowOff>
    </xdr:from>
    <xdr:to>
      <xdr:col>9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4" totalsRowShown="0" headerRowDxfId="55" dataDxfId="54" tableBorderDxfId="53">
  <autoFilter ref="A2:AC4" xr:uid="{FB179E74-48E2-4AB2-B030-DEF57A608A5B}"/>
  <tableColumns count="29">
    <tableColumn id="1" xr3:uid="{F1278FE0-D38A-4E18-8A13-0E2D8B64E41A}" name="ID" dataDxfId="52"/>
    <tableColumn id="2" xr3:uid="{44739461-CBC6-4DCA-8080-29A96E07DCB7}" name="NOME COMPLETO" dataDxfId="51"/>
    <tableColumn id="3" xr3:uid="{4A1AC2FC-6986-4D23-95D6-50547B4E9559}" name="O/S" dataDxfId="50"/>
    <tableColumn id="4" xr3:uid="{AF002364-F5B2-4649-A6BC-13107C53F2BD}" name="TELEFONE FIXO" dataDxfId="49"/>
    <tableColumn id="5" xr3:uid="{5136E472-DC36-4EE6-8C51-C86F253871AA}" name="CELULAR" dataDxfId="48"/>
    <tableColumn id="6" xr3:uid="{56DFE2F9-D9D2-4A03-93B9-D2108C2328B4}" name="CPF" dataDxfId="47"/>
    <tableColumn id="7" xr3:uid="{1866E312-5AE0-4B0B-B19D-0CB7E6B933DE}" name="ENDEREÇO" dataDxfId="46"/>
    <tableColumn id="8" xr3:uid="{0F4D5A2C-9E4E-4174-9B22-91C6A0DDF61A}" name="OBSERVAÇÃO" dataDxfId="45"/>
    <tableColumn id="9" xr3:uid="{EACE3EBD-CF4B-4FF8-BE2E-4338E3F79AE6}" name="DATA" dataDxfId="44"/>
    <tableColumn id="10" xr3:uid="{81E1C5CC-E8B6-4439-B086-AF3A3E81AD63}" name="OD-ESF" dataDxfId="43"/>
    <tableColumn id="11" xr3:uid="{96976A99-8ADB-4542-BE08-CD7FCDFCDB1B}" name="OD-SIL" dataDxfId="42"/>
    <tableColumn id="12" xr3:uid="{20B3F4FE-8DC5-410A-865D-50918D12836C}" name="OD-EIXO" dataDxfId="41"/>
    <tableColumn id="13" xr3:uid="{5BF0B2DB-486A-4A1D-A58C-5770377B093C}" name="OD-DNP" dataDxfId="40"/>
    <tableColumn id="14" xr3:uid="{84776810-8B50-4301-9303-B014C66A3653}" name="OD-ADIÇÃO" dataDxfId="39"/>
    <tableColumn id="15" xr3:uid="{60BA2D29-180A-4557-A87F-9A9819713BC1}" name="OD-ALTURA" dataDxfId="38"/>
    <tableColumn id="16" xr3:uid="{00084C2D-508F-40C8-8C10-8EB98C0FEEC9}" name="ED-ESF" dataDxfId="37"/>
    <tableColumn id="17" xr3:uid="{2C272586-CA72-46CB-BA36-7E1092EF12B3}" name="ED-SIL" dataDxfId="36"/>
    <tableColumn id="18" xr3:uid="{0BE5D9DD-04F9-4BBB-99CC-269B4DB9019D}" name="ED-EIXO" dataDxfId="35"/>
    <tableColumn id="19" xr3:uid="{3FFBEA31-F658-4FD3-A480-CC3DD145A9EF}" name="ED-DNP" dataDxfId="34"/>
    <tableColumn id="20" xr3:uid="{E908D2F4-4BA2-432C-9F0E-E75039BF2894}" name="ED-ADIÇÃO" dataDxfId="33"/>
    <tableColumn id="21" xr3:uid="{ECF38DDD-7946-44CC-B0D2-85000C112291}" name="ED-ALTURA" dataDxfId="32"/>
    <tableColumn id="22" xr3:uid="{051C54D0-F2D9-438E-9FF9-3BF0FCE52E9D}" name="OD-ESF2" dataDxfId="31"/>
    <tableColumn id="23" xr3:uid="{8C15F573-94E5-4874-B11D-ABF2583BEDDF}" name="OD-SIL3" dataDxfId="30"/>
    <tableColumn id="24" xr3:uid="{79AF13A8-4622-4020-90E4-35CB5546C7EC}" name="OD-EIXO4" dataDxfId="29"/>
    <tableColumn id="25" xr3:uid="{638A6A1C-2BAF-4FBF-BD5E-9D788A5BEF44}" name="OD-ALTURA5" dataDxfId="28"/>
    <tableColumn id="26" xr3:uid="{E58475FA-D630-49D8-BF83-B6C6357AFD5D}" name="OE-ESF" dataDxfId="27"/>
    <tableColumn id="27" xr3:uid="{B2E859C6-395D-4AAA-A643-AB5B493B27EC}" name="OE-SIL" dataDxfId="26"/>
    <tableColumn id="28" xr3:uid="{6256CDB5-0F01-4D3B-AAC5-B25BD56E37EC}" name="OE-EIXO" dataDxfId="25"/>
    <tableColumn id="29" xr3:uid="{20F71700-8874-4746-980B-D75DACBD3DA9}" name="OE-ALTURA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S5" totalsRowShown="0" headerRowDxfId="23" dataDxfId="21" headerRowBorderDxfId="22" tableBorderDxfId="20" totalsRowBorderDxfId="19">
  <autoFilter ref="A2:S5" xr:uid="{0905D7B3-B7FE-437A-BEE3-F030AF3D0228}"/>
  <tableColumns count="19">
    <tableColumn id="1" xr3:uid="{B3D09159-866F-4C86-8CFB-777F6B944203}" name="ID" dataDxfId="18"/>
    <tableColumn id="2" xr3:uid="{B5AD712A-2A4B-487E-9C0F-4C96F40F3D92}" name="NF" dataDxfId="17"/>
    <tableColumn id="3" xr3:uid="{A5332774-5E6B-4582-9EBD-F0168FC79273}" name="O/S" dataDxfId="16"/>
    <tableColumn id="4" xr3:uid="{E9F96972-F64C-4737-B4DB-1C78867F11CC}" name="NOME " dataDxfId="15"/>
    <tableColumn id="5" xr3:uid="{025D78F5-81A0-411D-B548-E74CA9B7C859}" name="TIPO LENTE" dataDxfId="14"/>
    <tableColumn id="6" xr3:uid="{2EE7659C-AD70-4885-89A7-6378DE5067EA}" name="DESCRIÇÃO" dataDxfId="13"/>
    <tableColumn id="7" xr3:uid="{8BB3D8D9-0D81-47B0-9CB0-4B792590BCAC}" name="QT" dataDxfId="12"/>
    <tableColumn id="8" xr3:uid="{DDC0BC57-DC72-40DB-8C84-BC27574E778F}" name="VALOR" dataDxfId="11"/>
    <tableColumn id="9" xr3:uid="{602DACDE-80C3-4966-B7B9-45032123D33F}" name="F/P" dataDxfId="10"/>
    <tableColumn id="20" xr3:uid="{7CF1AD86-C324-4EAE-8A18-21172BA9626B}" name="DATA" dataDxfId="9"/>
    <tableColumn id="10" xr3:uid="{C1AEC5B2-A64A-48C9-8062-E193CFFD20C3}" name="DESCONTO" dataDxfId="8"/>
    <tableColumn id="11" xr3:uid="{943CB7CB-FD41-4204-8C39-7E221E24F742}" name="ARMAÇÃO" dataDxfId="7"/>
    <tableColumn id="12" xr3:uid="{17DC4164-7EB7-475B-82B3-B1F2AC58D92D}" name="CAIXINHA/SPRAY" dataDxfId="6"/>
    <tableColumn id="13" xr3:uid="{F65F097F-55B0-4E55-ACCB-6BC34E982B3E}" name="LENTE" dataDxfId="5"/>
    <tableColumn id="14" xr3:uid="{824BBF0E-DBC2-4D9B-B795-C120C23640DB}" name="TAXAS" dataDxfId="4"/>
    <tableColumn id="19" xr3:uid="{3AB03C89-404E-41DE-9E1B-117884C7B846}" name="TAXA/CONVERTIDA" dataDxfId="3">
      <calculatedColumnFormula>Tabela4[VALOR]*Tabela4[TAXAS]</calculatedColumnFormula>
    </tableColumn>
    <tableColumn id="18" xr3:uid="{ECE9330F-23CC-4281-9283-553A77EFC171}" name="TOTAL DE CUSTO" dataDxfId="2">
      <calculatedColumnFormula>Tabela4[[#This Row],[ARMAÇÃO]]+Tabela4[[#This Row],[CAIXINHA/SPRAY]]+Tabela4[[#This Row],[LENTE]]+Tabela4[[#This Row],[DESCONTO]]+Tabela4[[#This Row],[TAXA/CONVERTIDA]]</calculatedColumnFormula>
    </tableColumn>
    <tableColumn id="15" xr3:uid="{2D334E11-AFDE-4BD2-ADEA-3DAF30F48583}" name="SUBTOTAL" dataDxfId="1">
      <calculatedColumnFormula>Tabela4[[#This Row],[QT]]*Tabela4[[#This Row],[VALOR]]-Tabela4[[#This Row],[TOTAL DE CUSTO]]</calculatedColumnFormula>
    </tableColumn>
    <tableColumn id="17" xr3:uid="{F1F51FB2-7426-41B0-9C94-BBA4EAAAE3A1}" name="LUCRO" dataDxfId="0">
      <calculatedColumnFormula>Tabela4[[#This Row],[SUBTOTAL]]/Tabela4[[#This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showZeros="0" tabSelected="1" zoomScaleNormal="100" workbookViewId="0">
      <selection activeCell="Q29" sqref="Q29"/>
    </sheetView>
  </sheetViews>
  <sheetFormatPr defaultRowHeight="14.4" x14ac:dyDescent="0.3"/>
  <cols>
    <col min="1" max="16384" width="8.88671875" style="1"/>
  </cols>
  <sheetData>
    <row r="1" spans="1:22" ht="70.2" customHeight="1" x14ac:dyDescent="0.3">
      <c r="A1" s="64" t="s">
        <v>56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</row>
    <row r="2" spans="1:22" x14ac:dyDescent="0.3">
      <c r="A2" s="5"/>
      <c r="V2" s="2"/>
    </row>
    <row r="3" spans="1:22" x14ac:dyDescent="0.3">
      <c r="A3" s="5"/>
      <c r="V3" s="2"/>
    </row>
    <row r="4" spans="1:22" x14ac:dyDescent="0.3">
      <c r="A4" s="5"/>
      <c r="V4" s="2"/>
    </row>
    <row r="5" spans="1:22" x14ac:dyDescent="0.3">
      <c r="A5" s="5"/>
      <c r="V5" s="2"/>
    </row>
    <row r="6" spans="1:22" x14ac:dyDescent="0.3">
      <c r="A6" s="5"/>
      <c r="V6" s="2"/>
    </row>
    <row r="7" spans="1:22" x14ac:dyDescent="0.3">
      <c r="A7" s="5"/>
      <c r="V7" s="2"/>
    </row>
    <row r="8" spans="1:22" x14ac:dyDescent="0.3">
      <c r="A8" s="5"/>
      <c r="V8" s="2"/>
    </row>
    <row r="9" spans="1:22" x14ac:dyDescent="0.3">
      <c r="A9" s="5"/>
      <c r="V9" s="2"/>
    </row>
    <row r="10" spans="1:22" x14ac:dyDescent="0.3">
      <c r="A10" s="5"/>
      <c r="V10" s="2"/>
    </row>
    <row r="11" spans="1:22" x14ac:dyDescent="0.3">
      <c r="A11" s="5"/>
      <c r="V11" s="2"/>
    </row>
    <row r="12" spans="1:22" x14ac:dyDescent="0.3">
      <c r="A12" s="5"/>
      <c r="V12" s="2"/>
    </row>
    <row r="13" spans="1:22" x14ac:dyDescent="0.3">
      <c r="A13" s="5"/>
      <c r="V13" s="2"/>
    </row>
    <row r="14" spans="1:22" x14ac:dyDescent="0.3">
      <c r="A14" s="5"/>
      <c r="I14" s="10"/>
      <c r="V14" s="2"/>
    </row>
    <row r="15" spans="1:22" x14ac:dyDescent="0.3">
      <c r="A15" s="5"/>
      <c r="V15" s="2"/>
    </row>
    <row r="16" spans="1:22" x14ac:dyDescent="0.3">
      <c r="A16" s="5"/>
      <c r="V16" s="2"/>
    </row>
    <row r="17" spans="1:22" x14ac:dyDescent="0.3">
      <c r="A17" s="5"/>
      <c r="V17" s="2"/>
    </row>
    <row r="18" spans="1:22" x14ac:dyDescent="0.3">
      <c r="A18" s="5"/>
      <c r="V18" s="2"/>
    </row>
    <row r="19" spans="1:22" x14ac:dyDescent="0.3">
      <c r="A19" s="5"/>
      <c r="V19" s="2"/>
    </row>
    <row r="20" spans="1:22" x14ac:dyDescent="0.3">
      <c r="A20" s="5"/>
      <c r="V20" s="2"/>
    </row>
    <row r="21" spans="1:22" x14ac:dyDescent="0.3">
      <c r="A21" s="5"/>
      <c r="V21" s="2"/>
    </row>
    <row r="22" spans="1:22" x14ac:dyDescent="0.3">
      <c r="A22" s="6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4"/>
    </row>
    <row r="23" spans="1:22" ht="40.049999999999997" customHeight="1" x14ac:dyDescent="0.3">
      <c r="A23" s="51" t="s">
        <v>49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4"/>
  <sheetViews>
    <sheetView showGridLines="0" showRowColHeaders="0" showZeros="0" workbookViewId="0">
      <pane ySplit="2" topLeftCell="A3" activePane="bottomLeft" state="frozen"/>
      <selection pane="bottomLeft" activeCell="B18" sqref="B18"/>
    </sheetView>
  </sheetViews>
  <sheetFormatPr defaultRowHeight="14.4" x14ac:dyDescent="0.3"/>
  <cols>
    <col min="1" max="1" width="8.88671875" style="31"/>
    <col min="2" max="2" width="40.77734375" style="31" customWidth="1"/>
    <col min="3" max="3" width="17.44140625" style="31" customWidth="1"/>
    <col min="4" max="5" width="25.77734375" style="31" customWidth="1"/>
    <col min="6" max="6" width="26.33203125" style="31" customWidth="1"/>
    <col min="7" max="7" width="50.109375" style="31" customWidth="1"/>
    <col min="8" max="8" width="40.77734375" style="31" customWidth="1"/>
    <col min="9" max="9" width="22.109375" style="37" customWidth="1"/>
    <col min="10" max="24" width="15.77734375" style="50" customWidth="1"/>
    <col min="25" max="25" width="17" style="50" customWidth="1"/>
    <col min="26" max="29" width="15.77734375" style="50" customWidth="1"/>
    <col min="30" max="30" width="2.88671875" style="10" customWidth="1"/>
    <col min="31" max="16384" width="8.88671875" style="10"/>
  </cols>
  <sheetData>
    <row r="1" spans="1:31" ht="49.95" customHeight="1" x14ac:dyDescent="0.3">
      <c r="A1" s="43"/>
      <c r="B1" s="43"/>
      <c r="C1" s="43"/>
      <c r="D1" s="43"/>
      <c r="E1" s="52" t="s">
        <v>50</v>
      </c>
      <c r="F1" s="53"/>
      <c r="G1" s="53"/>
      <c r="H1" s="43"/>
      <c r="I1" s="43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E1" s="47" t="s">
        <v>28</v>
      </c>
    </row>
    <row r="2" spans="1:31" s="11" customFormat="1" ht="18" x14ac:dyDescent="0.3">
      <c r="A2" s="18" t="s">
        <v>28</v>
      </c>
      <c r="B2" s="14" t="s">
        <v>1</v>
      </c>
      <c r="C2" s="14" t="s">
        <v>6</v>
      </c>
      <c r="D2" s="14" t="s">
        <v>7</v>
      </c>
      <c r="E2" s="14" t="s">
        <v>2</v>
      </c>
      <c r="F2" s="14" t="s">
        <v>3</v>
      </c>
      <c r="G2" s="14" t="s">
        <v>4</v>
      </c>
      <c r="H2" s="14" t="s">
        <v>5</v>
      </c>
      <c r="I2" s="15" t="s">
        <v>0</v>
      </c>
      <c r="J2" s="16" t="s">
        <v>8</v>
      </c>
      <c r="K2" s="16" t="s">
        <v>9</v>
      </c>
      <c r="L2" s="16" t="s">
        <v>10</v>
      </c>
      <c r="M2" s="16" t="s">
        <v>11</v>
      </c>
      <c r="N2" s="16" t="s">
        <v>12</v>
      </c>
      <c r="O2" s="16" t="s">
        <v>13</v>
      </c>
      <c r="P2" s="16" t="s">
        <v>14</v>
      </c>
      <c r="Q2" s="16" t="s">
        <v>15</v>
      </c>
      <c r="R2" s="16" t="s">
        <v>16</v>
      </c>
      <c r="S2" s="16" t="s">
        <v>17</v>
      </c>
      <c r="T2" s="16" t="s">
        <v>18</v>
      </c>
      <c r="U2" s="16" t="s">
        <v>19</v>
      </c>
      <c r="V2" s="16" t="s">
        <v>24</v>
      </c>
      <c r="W2" s="16" t="s">
        <v>25</v>
      </c>
      <c r="X2" s="16" t="s">
        <v>26</v>
      </c>
      <c r="Y2" s="16" t="s">
        <v>27</v>
      </c>
      <c r="Z2" s="16" t="s">
        <v>20</v>
      </c>
      <c r="AA2" s="16" t="s">
        <v>21</v>
      </c>
      <c r="AB2" s="16" t="s">
        <v>22</v>
      </c>
      <c r="AC2" s="16" t="s">
        <v>23</v>
      </c>
      <c r="AD2" s="19"/>
      <c r="AE2" s="17">
        <v>2</v>
      </c>
    </row>
    <row r="3" spans="1:31" x14ac:dyDescent="0.3">
      <c r="A3" s="34">
        <v>1</v>
      </c>
      <c r="B3" s="35" t="s">
        <v>52</v>
      </c>
      <c r="C3" s="35">
        <v>2</v>
      </c>
      <c r="D3" s="35">
        <v>44980611</v>
      </c>
      <c r="E3" s="35">
        <v>11947096148</v>
      </c>
      <c r="F3" s="35">
        <v>46243456811</v>
      </c>
      <c r="G3" s="35" t="s">
        <v>53</v>
      </c>
      <c r="H3" s="35" t="s">
        <v>54</v>
      </c>
      <c r="I3" s="36" t="s">
        <v>55</v>
      </c>
      <c r="J3" s="49">
        <v>-2</v>
      </c>
      <c r="K3" s="49">
        <v>-1</v>
      </c>
      <c r="L3" s="49">
        <v>90</v>
      </c>
      <c r="M3" s="49">
        <v>0</v>
      </c>
      <c r="N3" s="49">
        <v>0</v>
      </c>
      <c r="O3" s="49">
        <v>0</v>
      </c>
      <c r="P3" s="49">
        <v>0</v>
      </c>
      <c r="Q3" s="49">
        <v>0</v>
      </c>
      <c r="R3" s="49">
        <v>0</v>
      </c>
      <c r="S3" s="49">
        <v>0</v>
      </c>
      <c r="T3" s="49">
        <v>0</v>
      </c>
      <c r="U3" s="49">
        <v>0</v>
      </c>
      <c r="V3" s="49">
        <v>-1</v>
      </c>
      <c r="W3" s="49">
        <v>0</v>
      </c>
      <c r="X3" s="49">
        <v>0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20"/>
    </row>
    <row r="4" spans="1:31" x14ac:dyDescent="0.3">
      <c r="A4" s="54"/>
      <c r="B4" s="55"/>
      <c r="C4" s="55"/>
      <c r="D4" s="55"/>
      <c r="E4" s="55"/>
      <c r="F4" s="55"/>
      <c r="G4" s="55"/>
      <c r="H4" s="55"/>
      <c r="I4" s="56"/>
      <c r="J4" s="57">
        <v>0</v>
      </c>
      <c r="K4" s="58">
        <v>0</v>
      </c>
      <c r="L4" s="58">
        <v>0</v>
      </c>
      <c r="M4" s="58">
        <v>0</v>
      </c>
      <c r="N4" s="58">
        <v>0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8">
        <v>0</v>
      </c>
      <c r="V4" s="58">
        <v>0</v>
      </c>
      <c r="W4" s="58">
        <v>0</v>
      </c>
      <c r="X4" s="58">
        <v>0</v>
      </c>
      <c r="Y4" s="58">
        <v>0</v>
      </c>
      <c r="Z4" s="58">
        <v>0</v>
      </c>
      <c r="AA4" s="58">
        <v>0</v>
      </c>
      <c r="AB4" s="58">
        <v>0</v>
      </c>
      <c r="AC4" s="58">
        <v>0</v>
      </c>
    </row>
  </sheetData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Z5"/>
  <sheetViews>
    <sheetView showGridLines="0" showRowColHeaders="0" showZeros="0" zoomScaleNormal="100" workbookViewId="0">
      <pane ySplit="2" topLeftCell="A3" activePane="bottomLeft" state="frozen"/>
      <selection pane="bottomLeft" activeCell="S14" sqref="S14"/>
    </sheetView>
  </sheetViews>
  <sheetFormatPr defaultRowHeight="14.4" x14ac:dyDescent="0.3"/>
  <cols>
    <col min="1" max="1" width="8.88671875" style="31"/>
    <col min="2" max="3" width="15.77734375" style="31" customWidth="1"/>
    <col min="4" max="4" width="36.6640625" style="31" customWidth="1"/>
    <col min="5" max="5" width="27.77734375" style="31" bestFit="1" customWidth="1"/>
    <col min="6" max="6" width="47.88671875" style="31" customWidth="1"/>
    <col min="7" max="7" width="10.21875" style="31" customWidth="1"/>
    <col min="8" max="8" width="13.5546875" style="32" customWidth="1"/>
    <col min="9" max="9" width="12.88671875" style="31" customWidth="1"/>
    <col min="10" max="10" width="19.6640625" style="31" customWidth="1"/>
    <col min="11" max="12" width="15.77734375" style="32" customWidth="1"/>
    <col min="13" max="13" width="17.5546875" style="32" customWidth="1"/>
    <col min="14" max="14" width="15.77734375" style="32" customWidth="1"/>
    <col min="15" max="15" width="15.77734375" style="33" customWidth="1"/>
    <col min="16" max="16" width="19.44140625" style="22" customWidth="1"/>
    <col min="17" max="18" width="15.77734375" style="22" customWidth="1"/>
    <col min="19" max="19" width="15.77734375" style="23" customWidth="1"/>
    <col min="20" max="20" width="3.88671875" style="10" customWidth="1"/>
    <col min="21" max="21" width="8.88671875" style="10"/>
    <col min="22" max="22" width="4" style="10" customWidth="1"/>
    <col min="23" max="16384" width="8.88671875" style="10"/>
  </cols>
  <sheetData>
    <row r="1" spans="1:26" ht="49.95" customHeight="1" x14ac:dyDescent="0.3">
      <c r="A1" s="43"/>
      <c r="B1" s="43"/>
      <c r="C1" s="43"/>
      <c r="D1" s="43"/>
      <c r="E1" s="43"/>
      <c r="F1" s="52" t="s">
        <v>51</v>
      </c>
      <c r="G1" s="52"/>
      <c r="H1" s="52"/>
      <c r="I1" s="52"/>
      <c r="J1" s="52"/>
      <c r="K1" s="43"/>
      <c r="L1" s="43"/>
      <c r="M1" s="43"/>
      <c r="N1" s="43"/>
      <c r="O1" s="43"/>
      <c r="P1" s="44"/>
      <c r="Q1" s="44"/>
      <c r="R1" s="44"/>
      <c r="S1" s="45"/>
      <c r="T1" s="7"/>
      <c r="U1" s="47" t="s">
        <v>28</v>
      </c>
      <c r="V1" s="7"/>
      <c r="W1" s="7"/>
      <c r="X1" s="7"/>
      <c r="Y1" s="7"/>
      <c r="Z1" s="7"/>
    </row>
    <row r="2" spans="1:26" ht="18" x14ac:dyDescent="0.3">
      <c r="A2" s="12" t="s">
        <v>28</v>
      </c>
      <c r="B2" s="13" t="s">
        <v>29</v>
      </c>
      <c r="C2" s="13" t="s">
        <v>6</v>
      </c>
      <c r="D2" s="13" t="s">
        <v>30</v>
      </c>
      <c r="E2" s="13" t="s">
        <v>31</v>
      </c>
      <c r="F2" s="13" t="s">
        <v>32</v>
      </c>
      <c r="G2" s="13" t="s">
        <v>33</v>
      </c>
      <c r="H2" s="21" t="s">
        <v>34</v>
      </c>
      <c r="I2" s="13" t="s">
        <v>35</v>
      </c>
      <c r="J2" s="13" t="s">
        <v>0</v>
      </c>
      <c r="K2" s="26" t="s">
        <v>36</v>
      </c>
      <c r="L2" s="24" t="s">
        <v>37</v>
      </c>
      <c r="M2" s="24" t="s">
        <v>38</v>
      </c>
      <c r="N2" s="24" t="s">
        <v>39</v>
      </c>
      <c r="O2" s="25" t="s">
        <v>40</v>
      </c>
      <c r="P2" s="24" t="s">
        <v>44</v>
      </c>
      <c r="Q2" s="24" t="s">
        <v>43</v>
      </c>
      <c r="R2" s="40" t="s">
        <v>41</v>
      </c>
      <c r="S2" s="41" t="s">
        <v>42</v>
      </c>
      <c r="U2" s="17">
        <v>3</v>
      </c>
    </row>
    <row r="3" spans="1:26" x14ac:dyDescent="0.3">
      <c r="A3" s="28">
        <v>2</v>
      </c>
      <c r="B3" s="28">
        <v>35426</v>
      </c>
      <c r="C3" s="28">
        <v>526</v>
      </c>
      <c r="D3" s="28" t="s">
        <v>57</v>
      </c>
      <c r="E3" s="28" t="s">
        <v>58</v>
      </c>
      <c r="F3" s="28"/>
      <c r="G3" s="28">
        <v>1</v>
      </c>
      <c r="H3" s="29">
        <v>500</v>
      </c>
      <c r="I3" s="28" t="s">
        <v>45</v>
      </c>
      <c r="J3" s="46" t="s">
        <v>55</v>
      </c>
      <c r="K3" s="29"/>
      <c r="L3" s="29">
        <v>30</v>
      </c>
      <c r="M3" s="29">
        <v>7</v>
      </c>
      <c r="N3" s="29">
        <v>50</v>
      </c>
      <c r="O3" s="30">
        <v>0.06</v>
      </c>
      <c r="P3" s="39">
        <f>Tabela4[VALOR]*Tabela4[TAXAS]</f>
        <v>30</v>
      </c>
      <c r="Q3" s="27">
        <f>Tabela4[[#This Row],[ARMAÇÃO]]+Tabela4[[#This Row],[CAIXINHA/SPRAY]]+Tabela4[[#This Row],[LENTE]]+Tabela4[[#This Row],[DESCONTO]]+Tabela4[[#This Row],[TAXA/CONVERTIDA]]</f>
        <v>117</v>
      </c>
      <c r="R3" s="39">
        <f>Tabela4[[#This Row],[QT]]*Tabela4[[#This Row],[VALOR]]-Tabela4[[#This Row],[TOTAL DE CUSTO]]</f>
        <v>383</v>
      </c>
      <c r="S3" s="42">
        <f>Tabela4[[#This Row],[SUBTOTAL]]/Tabela4[[#This Row],[TOTAL DE CUSTO]]</f>
        <v>3.2735042735042734</v>
      </c>
      <c r="V3" s="8"/>
    </row>
    <row r="4" spans="1:26" x14ac:dyDescent="0.3">
      <c r="A4" s="28">
        <v>3</v>
      </c>
      <c r="B4" s="28">
        <v>63254</v>
      </c>
      <c r="C4" s="28"/>
      <c r="D4" s="28" t="s">
        <v>52</v>
      </c>
      <c r="E4" s="28" t="s">
        <v>59</v>
      </c>
      <c r="F4" s="28" t="s">
        <v>60</v>
      </c>
      <c r="G4" s="59">
        <v>1</v>
      </c>
      <c r="H4" s="29">
        <v>700</v>
      </c>
      <c r="I4" s="28" t="s">
        <v>47</v>
      </c>
      <c r="J4" s="60" t="s">
        <v>55</v>
      </c>
      <c r="K4" s="29">
        <v>0</v>
      </c>
      <c r="L4" s="29"/>
      <c r="M4" s="29">
        <v>7</v>
      </c>
      <c r="N4" s="29">
        <v>76</v>
      </c>
      <c r="O4" s="30"/>
      <c r="P4" s="61">
        <f>Tabela4[VALOR]*Tabela4[TAXAS]</f>
        <v>0</v>
      </c>
      <c r="Q4" s="62">
        <f>Tabela4[[#This Row],[ARMAÇÃO]]+Tabela4[[#This Row],[CAIXINHA/SPRAY]]+Tabela4[[#This Row],[LENTE]]+Tabela4[[#This Row],[DESCONTO]]+Tabela4[[#This Row],[TAXA/CONVERTIDA]]</f>
        <v>83</v>
      </c>
      <c r="R4" s="61">
        <f>Tabela4[[#This Row],[QT]]*Tabela4[[#This Row],[VALOR]]-Tabela4[[#This Row],[TOTAL DE CUSTO]]</f>
        <v>617</v>
      </c>
      <c r="S4" s="63">
        <f>Tabela4[[#This Row],[SUBTOTAL]]/Tabela4[[#This Row],[TOTAL DE CUSTO]]</f>
        <v>7.4337349397590362</v>
      </c>
    </row>
    <row r="5" spans="1:26" x14ac:dyDescent="0.3">
      <c r="A5" s="28"/>
      <c r="B5" s="28"/>
      <c r="C5" s="28"/>
      <c r="D5" s="28"/>
      <c r="E5" s="28"/>
      <c r="F5" s="28"/>
      <c r="G5" s="59"/>
      <c r="H5" s="29"/>
      <c r="I5" s="28"/>
      <c r="J5" s="60"/>
      <c r="K5" s="29"/>
      <c r="L5" s="29"/>
      <c r="M5" s="29"/>
      <c r="N5" s="29"/>
      <c r="O5" s="30"/>
      <c r="P5" s="61">
        <f>Tabela4[VALOR]*Tabela4[TAXAS]</f>
        <v>0</v>
      </c>
      <c r="Q5" s="62">
        <f>Tabela4[[#This Row],[ARMAÇÃO]]+Tabela4[[#This Row],[CAIXINHA/SPRAY]]+Tabela4[[#This Row],[LENTE]]+Tabela4[[#This Row],[DESCONTO]]+Tabela4[[#This Row],[TAXA/CONVERTIDA]]</f>
        <v>0</v>
      </c>
      <c r="R5" s="61">
        <f>Tabela4[[#This Row],[QT]]*Tabela4[[#This Row],[VALOR]]-Tabela4[[#This Row],[TOTAL DE CUSTO]]</f>
        <v>0</v>
      </c>
      <c r="S5" s="63" t="e">
        <f>Tabela4[[#This Row],[SUBTOTAL]]/Tabela4[[#This Row],[TOTAL DE CUSTO]]</f>
        <v>#DIV/0!</v>
      </c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A5"/>
  <sheetViews>
    <sheetView workbookViewId="0">
      <selection activeCell="D28" sqref="D28"/>
    </sheetView>
  </sheetViews>
  <sheetFormatPr defaultRowHeight="14.4" x14ac:dyDescent="0.3"/>
  <cols>
    <col min="1" max="1" width="20" style="8" customWidth="1"/>
    <col min="2" max="16384" width="8.88671875" style="8"/>
  </cols>
  <sheetData>
    <row r="1" spans="1:1" ht="31.2" customHeight="1" x14ac:dyDescent="0.3">
      <c r="A1" s="38" t="s">
        <v>35</v>
      </c>
    </row>
    <row r="2" spans="1:1" x14ac:dyDescent="0.3">
      <c r="A2" s="9" t="s">
        <v>47</v>
      </c>
    </row>
    <row r="3" spans="1:1" x14ac:dyDescent="0.3">
      <c r="A3" s="9" t="s">
        <v>46</v>
      </c>
    </row>
    <row r="4" spans="1:1" x14ac:dyDescent="0.3">
      <c r="A4" s="9" t="s">
        <v>45</v>
      </c>
    </row>
    <row r="5" spans="1:1" x14ac:dyDescent="0.3">
      <c r="A5" s="9" t="s">
        <v>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MENU</vt:lpstr>
      <vt:lpstr>DADOS CADASTRO</vt:lpstr>
      <vt:lpstr>DADOS VENDAS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2023-01-13T20:33:45Z</dcterms:modified>
</cp:coreProperties>
</file>