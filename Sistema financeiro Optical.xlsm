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B10A91B6-E3A7-4783-AF01-0F1BEC5D5144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definedNames>
    <definedName name="forma_pagamento">'DADOS SISTEMA'!$A$2:$A$5</definedName>
    <definedName name="ID">'DADOS CADASTRO'!$AE$2</definedName>
    <definedName name="ID_vendas">'DADOS VENDAS'!$W$2</definedName>
    <definedName name="nomes_cadastro">'DADOS CADASTRO'!$B$3:$B$1048576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" i="9" l="1"/>
  <c r="R3" i="9"/>
  <c r="R4" i="9"/>
  <c r="R5" i="9"/>
  <c r="R6" i="9"/>
  <c r="R7" i="9"/>
  <c r="R8" i="9"/>
  <c r="R9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O8" i="9" l="1"/>
  <c r="T8" i="9" s="1"/>
  <c r="U8" i="9" s="1"/>
  <c r="S8" i="9"/>
  <c r="U10" i="9"/>
  <c r="T10" i="9"/>
  <c r="O10" i="9"/>
  <c r="O4" i="9"/>
  <c r="T4" i="9"/>
  <c r="U4" i="9"/>
  <c r="O6" i="9"/>
  <c r="T6" i="9"/>
  <c r="U6" i="9"/>
  <c r="U5" i="9"/>
  <c r="T5" i="9"/>
  <c r="O5" i="9"/>
  <c r="S3" i="9"/>
  <c r="U9" i="9"/>
  <c r="T9" i="9"/>
  <c r="O9" i="9"/>
  <c r="N5" i="9"/>
  <c r="S5" i="9"/>
  <c r="N6" i="9"/>
  <c r="S6" i="9"/>
  <c r="N10" i="9"/>
  <c r="S10" i="9"/>
  <c r="S7" i="9"/>
  <c r="N4" i="9"/>
  <c r="S4" i="9"/>
  <c r="E5" i="10"/>
  <c r="E9" i="10"/>
  <c r="E7" i="10"/>
  <c r="E4" i="10"/>
  <c r="E3" i="10"/>
  <c r="E11" i="10"/>
  <c r="E13" i="10"/>
  <c r="E12" i="10"/>
  <c r="E2" i="10"/>
  <c r="E10" i="10"/>
  <c r="E8" i="10"/>
  <c r="E6" i="10"/>
  <c r="D9" i="10"/>
  <c r="D3" i="10"/>
  <c r="U3" i="9"/>
  <c r="D2" i="10"/>
  <c r="D7" i="10"/>
  <c r="D6" i="10"/>
  <c r="D10" i="10"/>
  <c r="D5" i="10"/>
  <c r="D11" i="10"/>
  <c r="D13" i="10"/>
  <c r="D8" i="10"/>
  <c r="D12" i="10"/>
  <c r="N3" i="9"/>
  <c r="O3" i="9"/>
  <c r="T3" i="9"/>
  <c r="D4" i="10"/>
  <c r="N9" i="9"/>
  <c r="S9" i="9"/>
  <c r="N7" i="9"/>
  <c r="O7" i="9"/>
  <c r="T7" i="9"/>
  <c r="U7" i="9"/>
</calcChain>
</file>

<file path=xl/sharedStrings.xml><?xml version="1.0" encoding="utf-8"?>
<sst xmlns="http://schemas.openxmlformats.org/spreadsheetml/2006/main" count="167" uniqueCount="115">
  <si>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</si>
  <si>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</si>
  <si>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</si>
  <si>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</si>
  <si>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</si>
  <si>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</si>
  <si>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</si>
  <si>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</si>
  <si>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</si>
  <si>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</si>
  <si>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</si>
  <si>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</si>
  <si>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</si>
  <si>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</si>
  <si>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</si>
  <si>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</si>
  <si>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</si>
  <si>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</si>
  <si>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</si>
  <si>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</si>
  <si>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</si>
  <si>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</si>
  <si>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</si>
  <si>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</si>
  <si>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</si>
  <si>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</si>
  <si>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</si>
  <si>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</si>
  <si>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</si>
  <si>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</si>
  <si>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</si>
  <si>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</si>
  <si>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</si>
  <si>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</si>
  <si>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</si>
  <si>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</si>
  <si>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</si>
  <si>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</si>
  <si>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TOTAL DE CUSTO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</si>
  <si>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</si>
  <si>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</si>
  <si>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</si>
  <si>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</si>
  <si>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</si>
  <si>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</si>
  <si>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</si>
  <si>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</si>
  <si>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</si>
  <si>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</si>
  <si>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</si>
  <si>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</si>
  <si>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</si>
  <si>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</si>
  <si>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</si>
  <si>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</si>
  <si>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</si>
  <si>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</si>
  <si>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</si>
  <si>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</si>
  <si>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</si>
  <si>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</si>
  <si>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</si>
  <si>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</si>
  <si>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</si>
  <si>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</si>
  <si>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</si>
  <si>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</si>
  <si>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</si>
  <si>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</si>
  <si>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</si>
  <si>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</si>
  <si>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</si>
  <si>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</si>
  <si>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</si>
  <si>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</si>
  <si>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</si>
  <si>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</si>
  <si>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</si>
  <si>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</si>
  <si>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</si>
  <si>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</si>
  <si>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</si>
  <si>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C/C</t>
  </si>
  <si>
    <t>SINAL DE 50,00 - falta 349,90</t>
  </si>
  <si>
    <t>(11)93150-5272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</si>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</sst>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165" fontId="0" fillId="5" borderId="2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58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VENDAS DIARIA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922953779713703E-2"/>
          <c:y val="0.10097159940209269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0"/>
          <c:tx>
            <c:v>Custos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7"/>
              <c:pt idx="0">
                <c:v>1/12/2023</c:v>
              </c:pt>
              <c:pt idx="1">
                <c:v>16/01/2023</c:v>
              </c:pt>
              <c:pt idx="2">
                <c:v>17/01/2023</c:v>
              </c:pt>
              <c:pt idx="3">
                <c:v>18/01/2023</c:v>
              </c:pt>
              <c:pt idx="4">
                <c:v>19/01/2023</c:v>
              </c:pt>
              <c:pt idx="5">
                <c:v>24/01/2023</c:v>
              </c:pt>
              <c:pt idx="6">
                <c:v>24/01/2023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VENDAS'!$O$3:$O$1013</c15:sqref>
                  </c15:fullRef>
                </c:ext>
              </c:extLst>
              <c:f>('DADOS VENDAS'!$O$3:$O$23,'DADOS VENDAS'!$O$1008:$O$1013)</c:f>
              <c:numCache>
                <c:formatCode>0.00</c:formatCode>
                <c:ptCount val="27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44</c:v>
                </c:pt>
                <c:pt idx="4">
                  <c:v>69</c:v>
                </c:pt>
                <c:pt idx="5">
                  <c:v>184.88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D-4752-A820-4D055088797F}"/>
            </c:ext>
          </c:extLst>
        </c:ser>
        <c:ser>
          <c:idx val="0"/>
          <c:order val="1"/>
          <c:tx>
            <c:v>Vendas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VENDAS'!$I$3:$I$25</c15:sqref>
                  </c15:fullRef>
                </c:ext>
              </c:extLst>
              <c:f>'DADOS VENDAS'!$I$3:$I$23</c:f>
              <c:strCache>
                <c:ptCount val="7"/>
                <c:pt idx="0">
                  <c:v>1/12/2023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VENDAS'!$T$3:$T$1013</c15:sqref>
                  </c15:fullRef>
                </c:ext>
              </c:extLst>
              <c:f>('DADOS VENDAS'!$T$3:$T$23,'DADOS VENDAS'!$T$1008:$T$1013)</c:f>
              <c:numCache>
                <c:formatCode>0.00</c:formatCode>
                <c:ptCount val="27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356</c:v>
                </c:pt>
                <c:pt idx="4">
                  <c:v>191</c:v>
                </c:pt>
                <c:pt idx="5">
                  <c:v>565.12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D-4F97-8CCA-65CE4D70E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455845193263873E-2"/>
          <c:y val="8.3554924486898149E-2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900.9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4359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11" Type="http://schemas.openxmlformats.org/officeDocument/2006/relationships/image" Target="../media/image8.png"/><Relationship Id="rId5" Type="http://schemas.openxmlformats.org/officeDocument/2006/relationships/image" Target="../media/image3.png"/><Relationship Id="rId10" Type="http://schemas.openxmlformats.org/officeDocument/2006/relationships/hyperlink" Target="#Graficos!A1"/><Relationship Id="rId4" Type="http://schemas.openxmlformats.org/officeDocument/2006/relationships/image" Target="../media/image2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9.png"/><Relationship Id="rId7" Type="http://schemas.openxmlformats.org/officeDocument/2006/relationships/image" Target="../media/image5.png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373380</xdr:colOff>
      <xdr:row>2</xdr:row>
      <xdr:rowOff>76200</xdr:rowOff>
    </xdr:from>
    <xdr:to>
      <xdr:col>8</xdr:col>
      <xdr:colOff>60960</xdr:colOff>
      <xdr:row>7</xdr:row>
      <xdr:rowOff>99060</xdr:rowOff>
    </xdr:to>
    <xdr:sp macro="[0]!RetânguloCantosArredondados1_Clique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3421380" y="115062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5</xdr:col>
      <xdr:colOff>358140</xdr:colOff>
      <xdr:row>9</xdr:row>
      <xdr:rowOff>68580</xdr:rowOff>
    </xdr:from>
    <xdr:to>
      <xdr:col>8</xdr:col>
      <xdr:colOff>45720</xdr:colOff>
      <xdr:row>14</xdr:row>
      <xdr:rowOff>91440</xdr:rowOff>
    </xdr:to>
    <xdr:sp macro="[0]!RetânguloCantosArredondados1_Clique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3406140" y="24231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2</xdr:col>
      <xdr:colOff>106680</xdr:colOff>
      <xdr:row>2</xdr:row>
      <xdr:rowOff>22859</xdr:rowOff>
    </xdr:from>
    <xdr:to>
      <xdr:col>3</xdr:col>
      <xdr:colOff>586288</xdr:colOff>
      <xdr:row>7</xdr:row>
      <xdr:rowOff>141546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2AFBE636-DDA5-E6BF-F0C9-6B769B6BB13D}"/>
            </a:ext>
          </a:extLst>
        </xdr:cNvPr>
        <xdr:cNvGrpSpPr/>
      </xdr:nvGrpSpPr>
      <xdr:grpSpPr>
        <a:xfrm>
          <a:off x="1325880" y="1097279"/>
          <a:ext cx="1089208" cy="1033087"/>
          <a:chOff x="0" y="609599"/>
          <a:chExt cx="1089208" cy="1033087"/>
        </a:xfrm>
      </xdr:grpSpPr>
      <xdr:pic macro="[0]!cadastrar_clientes">
        <xdr:nvPicPr>
          <xdr:cNvPr id="8" name="Imagem 7">
            <a:extLst>
              <a:ext uri="{FF2B5EF4-FFF2-40B4-BE49-F238E27FC236}">
                <a16:creationId xmlns:a16="http://schemas.microsoft.com/office/drawing/2014/main" id="{CE65D957-D6D9-7C8B-B0C6-CD2349C398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3362" y="609599"/>
            <a:ext cx="676441" cy="720000"/>
          </a:xfrm>
          <a:prstGeom prst="rect">
            <a:avLst/>
          </a:prstGeom>
        </xdr:spPr>
      </xdr:pic>
      <xdr:sp macro="[0]!cadastrar_clientes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83A76511-DC6B-B5B7-1129-0B2BF95BF9E3}"/>
              </a:ext>
            </a:extLst>
          </xdr:cNvPr>
          <xdr:cNvSpPr/>
        </xdr:nvSpPr>
        <xdr:spPr>
          <a:xfrm>
            <a:off x="0" y="1268545"/>
            <a:ext cx="1089208" cy="37414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Cadastrar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2</xdr:col>
      <xdr:colOff>186645</xdr:colOff>
      <xdr:row>9</xdr:row>
      <xdr:rowOff>38235</xdr:rowOff>
    </xdr:from>
    <xdr:to>
      <xdr:col>3</xdr:col>
      <xdr:colOff>445361</xdr:colOff>
      <xdr:row>14</xdr:row>
      <xdr:rowOff>95826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E686D44-64D9-C0B4-1A38-6BB8D22C08EC}"/>
            </a:ext>
          </a:extLst>
        </xdr:cNvPr>
        <xdr:cNvGrpSpPr/>
      </xdr:nvGrpSpPr>
      <xdr:grpSpPr>
        <a:xfrm>
          <a:off x="1405845" y="2392815"/>
          <a:ext cx="868316" cy="971991"/>
          <a:chOff x="110445" y="1707015"/>
          <a:chExt cx="868316" cy="971991"/>
        </a:xfrm>
      </xdr:grpSpPr>
      <xdr:pic macro="[0]!realizar_venda">
        <xdr:nvPicPr>
          <xdr:cNvPr id="10" name="Imagem 9">
            <a:extLst>
              <a:ext uri="{FF2B5EF4-FFF2-40B4-BE49-F238E27FC236}">
                <a16:creationId xmlns:a16="http://schemas.microsoft.com/office/drawing/2014/main" id="{AF74DB60-62C0-FBB8-BA55-70C572555C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2861" y="1707015"/>
            <a:ext cx="705172" cy="720000"/>
          </a:xfrm>
          <a:prstGeom prst="rect">
            <a:avLst/>
          </a:prstGeom>
        </xdr:spPr>
      </xdr:pic>
      <xdr:sp macro="[0]!realizar_venda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1E456A2E-B44B-44E5-9004-DE3200E211C9}"/>
              </a:ext>
            </a:extLst>
          </xdr:cNvPr>
          <xdr:cNvSpPr/>
        </xdr:nvSpPr>
        <xdr:spPr>
          <a:xfrm>
            <a:off x="110445" y="2304865"/>
            <a:ext cx="868316" cy="37414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Vender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411480</xdr:colOff>
      <xdr:row>0</xdr:row>
      <xdr:rowOff>236220</xdr:rowOff>
    </xdr:from>
    <xdr:to>
      <xdr:col>19</xdr:col>
      <xdr:colOff>161880</xdr:colOff>
      <xdr:row>0</xdr:row>
      <xdr:rowOff>596220</xdr:rowOff>
    </xdr:to>
    <xdr:pic macro="[0]!Salvar">
      <xdr:nvPicPr>
        <xdr:cNvPr id="28" name="Imagem 27">
          <a:extLst>
            <a:ext uri="{FF2B5EF4-FFF2-40B4-BE49-F238E27FC236}">
              <a16:creationId xmlns:a16="http://schemas.microsoft.com/office/drawing/2014/main" id="{CC972746-2929-F86B-5C3C-FFA4365AF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4280" y="236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TelaSenha_graficos.TelaSenha_graficos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TelaSenha_graficos.TelaSenha_graficos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1005840</xdr:colOff>
      <xdr:row>0</xdr:row>
      <xdr:rowOff>160020</xdr:rowOff>
    </xdr:from>
    <xdr:to>
      <xdr:col>1</xdr:col>
      <xdr:colOff>1365840</xdr:colOff>
      <xdr:row>0</xdr:row>
      <xdr:rowOff>520020</xdr:rowOff>
    </xdr:to>
    <xdr:pic macro="[0]!Salvar">
      <xdr:nvPicPr>
        <xdr:cNvPr id="5" name="Imagem 4">
          <a:extLst>
            <a:ext uri="{FF2B5EF4-FFF2-40B4-BE49-F238E27FC236}">
              <a16:creationId xmlns:a16="http://schemas.microsoft.com/office/drawing/2014/main" id="{0B8DEF78-85A2-4B39-A74F-0285A919F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" y="160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121920</xdr:colOff>
      <xdr:row>0</xdr:row>
      <xdr:rowOff>160020</xdr:rowOff>
    </xdr:from>
    <xdr:to>
      <xdr:col>7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998220</xdr:colOff>
      <xdr:row>0</xdr:row>
      <xdr:rowOff>175260</xdr:rowOff>
    </xdr:from>
    <xdr:to>
      <xdr:col>2</xdr:col>
      <xdr:colOff>253320</xdr:colOff>
      <xdr:row>0</xdr:row>
      <xdr:rowOff>535260</xdr:rowOff>
    </xdr:to>
    <xdr:pic macro="[0]!Salvar">
      <xdr:nvPicPr>
        <xdr:cNvPr id="12" name="Imagem 11">
          <a:extLst>
            <a:ext uri="{FF2B5EF4-FFF2-40B4-BE49-F238E27FC236}">
              <a16:creationId xmlns:a16="http://schemas.microsoft.com/office/drawing/2014/main" id="{9CB225DC-65F8-417E-A389-BB4CD9A0C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82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525780</xdr:colOff>
      <xdr:row>0</xdr:row>
      <xdr:rowOff>144780</xdr:rowOff>
    </xdr:from>
    <xdr:to>
      <xdr:col>2</xdr:col>
      <xdr:colOff>276180</xdr:colOff>
      <xdr:row>0</xdr:row>
      <xdr:rowOff>504780</xdr:rowOff>
    </xdr:to>
    <xdr:pic macro="[0]!Salvar">
      <xdr:nvPicPr>
        <xdr:cNvPr id="11" name="Imagem 10">
          <a:extLst>
            <a:ext uri="{FF2B5EF4-FFF2-40B4-BE49-F238E27FC236}">
              <a16:creationId xmlns:a16="http://schemas.microsoft.com/office/drawing/2014/main" id="{6353E597-7171-4D39-8BF5-86DB0E687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5380" y="14478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C10" totalsRowShown="0" headerRowDxfId="57" dataDxfId="56" tableBorderDxfId="55">
  <autoFilter ref="A2:AC10" xr:uid="{FB179E74-48E2-4AB2-B030-DEF57A608A5B}"/>
  <tableColumns count="29">
    <tableColumn id="1" xr3:uid="{F1278FE0-D38A-4E18-8A13-0E2D8B64E41A}" name="ID" dataDxfId="54"/>
    <tableColumn id="2" xr3:uid="{44739461-CBC6-4DCA-8080-29A96E07DCB7}" name="NOME COMPLETO" dataDxfId="53"/>
    <tableColumn id="3" xr3:uid="{4A1AC2FC-6986-4D23-95D6-50547B4E9559}" name="O/S" dataDxfId="52"/>
    <tableColumn id="4" xr3:uid="{AF002364-F5B2-4649-A6BC-13107C53F2BD}" name="TELEFONE FIXO" dataDxfId="51"/>
    <tableColumn id="5" xr3:uid="{5136E472-DC36-4EE6-8C51-C86F253871AA}" name="CELULAR" dataDxfId="50"/>
    <tableColumn id="6" xr3:uid="{56DFE2F9-D9D2-4A03-93B9-D2108C2328B4}" name="CPF" dataDxfId="49"/>
    <tableColumn id="7" xr3:uid="{1866E312-5AE0-4B0B-B19D-0CB7E6B933DE}" name="ENDEREÇO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S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ED-ESF" dataDxfId="39"/>
    <tableColumn id="17" xr3:uid="{2C272586-CA72-46CB-BA36-7E1092EF12B3}" name="ED-SIL" dataDxfId="38"/>
    <tableColumn id="18" xr3:uid="{0BE5D9DD-04F9-4BBB-99CC-269B4DB9019D}" name="ED-EIXO" dataDxfId="37"/>
    <tableColumn id="19" xr3:uid="{3FFBEA31-F658-4FD3-A480-CC3DD145A9EF}" name="ED-DNP" dataDxfId="36"/>
    <tableColumn id="20" xr3:uid="{E908D2F4-4BA2-432C-9F0E-E75039BF2894}" name="ED-ADIÇÃO" dataDxfId="35"/>
    <tableColumn id="21" xr3:uid="{ECF38DDD-7946-44CC-B0D2-85000C112291}" name="ED-ALTURA" dataDxfId="34"/>
    <tableColumn id="22" xr3:uid="{051C54D0-F2D9-438E-9FF9-3BF0FCE52E9D}" name="OD-ESF2" dataDxfId="33"/>
    <tableColumn id="23" xr3:uid="{8C15F573-94E5-4874-B11D-ABF2583BEDDF}" name="OD-SIL3" dataDxfId="32"/>
    <tableColumn id="24" xr3:uid="{79AF13A8-4622-4020-90E4-35CB5546C7EC}" name="OD-EIXO4" dataDxfId="31"/>
    <tableColumn id="25" xr3:uid="{638A6A1C-2BAF-4FBF-BD5E-9D788A5BEF44}" name="OD-ALTURA5" dataDxfId="30"/>
    <tableColumn id="26" xr3:uid="{E58475FA-D630-49D8-BF83-B6C6357AFD5D}" name="OE-ESF" dataDxfId="29"/>
    <tableColumn id="27" xr3:uid="{B2E859C6-395D-4AAA-A643-AB5B493B27EC}" name="OE-SIL" dataDxfId="28"/>
    <tableColumn id="28" xr3:uid="{6256CDB5-0F01-4D3B-AAC5-B25BD56E37EC}" name="OE-EIXO" dataDxfId="27"/>
    <tableColumn id="29" xr3:uid="{20F71700-8874-4746-980B-D75DACBD3DA9}" name="OE-ALTURA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0" totalsRowShown="0" headerRowDxfId="25" dataDxfId="23" headerRowBorderDxfId="24" tableBorderDxfId="22" totalsRowBorderDxfId="21">
  <autoFilter ref="A2:U10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DE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DE CUSTO]]</calculatedColumnFormula>
    </tableColumn>
    <tableColumn id="17" xr3:uid="{F1F51FB2-7426-41B0-9C94-BBA4EAAAE3A1}" name="LUCRO/%" dataDxfId="0">
      <calculatedColumnFormula>Tabela4[[#This Row],[LUCRO]]/Tabela4[[#This Row],[TOTAL DE CUSTO]]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activeCell="L26" sqref="L26"/>
    </sheetView>
  </sheetViews>
  <sheetFormatPr defaultColWidth="8.88671875" defaultRowHeight="14.4" x14ac:dyDescent="0.3"/>
  <cols>
    <col min="1" max="16384" width="8.88671875" style="32"/>
  </cols>
  <sheetData>
    <row r="1" spans="1:22" ht="70.2" customHeight="1" x14ac:dyDescent="0.3">
      <c r="A1" s="80" t="s">
        <v>46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</row>
    <row r="2" spans="1:22" x14ac:dyDescent="0.3">
      <c r="A2" s="33"/>
      <c r="V2" s="34"/>
    </row>
    <row r="3" spans="1:22" x14ac:dyDescent="0.3">
      <c r="A3" s="33"/>
      <c r="V3" s="34"/>
    </row>
    <row r="4" spans="1:22" x14ac:dyDescent="0.3">
      <c r="A4" s="33"/>
      <c r="V4" s="34"/>
    </row>
    <row r="5" spans="1:22" x14ac:dyDescent="0.3">
      <c r="A5" s="33"/>
      <c r="V5" s="34"/>
    </row>
    <row r="6" spans="1:22" x14ac:dyDescent="0.3">
      <c r="A6" s="33"/>
      <c r="V6" s="34"/>
    </row>
    <row r="7" spans="1:22" x14ac:dyDescent="0.3">
      <c r="A7" s="33"/>
      <c r="V7" s="34"/>
    </row>
    <row r="8" spans="1:22" x14ac:dyDescent="0.3">
      <c r="A8" s="33"/>
      <c r="V8" s="34"/>
    </row>
    <row r="9" spans="1:22" x14ac:dyDescent="0.3">
      <c r="A9" s="33"/>
      <c r="V9" s="34"/>
    </row>
    <row r="10" spans="1:22" x14ac:dyDescent="0.3">
      <c r="A10" s="33"/>
      <c r="V10" s="34"/>
    </row>
    <row r="11" spans="1:22" x14ac:dyDescent="0.3">
      <c r="A11" s="33"/>
      <c r="V11" s="34"/>
    </row>
    <row r="12" spans="1:22" x14ac:dyDescent="0.3">
      <c r="A12" s="33"/>
      <c r="V12" s="34"/>
    </row>
    <row r="13" spans="1:22" x14ac:dyDescent="0.3">
      <c r="A13" s="33"/>
      <c r="V13" s="34"/>
    </row>
    <row r="14" spans="1:22" x14ac:dyDescent="0.3">
      <c r="A14" s="33"/>
      <c r="I14" s="11"/>
      <c r="V14" s="34"/>
    </row>
    <row r="15" spans="1:22" x14ac:dyDescent="0.3">
      <c r="A15" s="33"/>
      <c r="V15" s="34"/>
    </row>
    <row r="16" spans="1:22" x14ac:dyDescent="0.3">
      <c r="A16" s="33"/>
      <c r="V16" s="34"/>
    </row>
    <row r="17" spans="1:22" x14ac:dyDescent="0.3">
      <c r="A17" s="33"/>
      <c r="V17" s="34"/>
    </row>
    <row r="18" spans="1:22" x14ac:dyDescent="0.3">
      <c r="A18" s="33"/>
      <c r="V18" s="34"/>
    </row>
    <row r="19" spans="1:22" x14ac:dyDescent="0.3">
      <c r="A19" s="33"/>
      <c r="V19" s="34"/>
    </row>
    <row r="20" spans="1:22" x14ac:dyDescent="0.3">
      <c r="A20" s="33"/>
      <c r="V20" s="34"/>
    </row>
    <row r="21" spans="1:22" x14ac:dyDescent="0.3">
      <c r="A21" s="33"/>
      <c r="V21" s="34"/>
    </row>
    <row r="22" spans="1:22" x14ac:dyDescent="0.3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7"/>
    </row>
    <row r="23" spans="1:22" ht="40.200000000000003" customHeight="1" x14ac:dyDescent="0.3">
      <c r="A23" s="81" t="s">
        <v>43</v>
      </c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</row>
  </sheetData>
  <sheetProtection algorithmName="SHA-512" hashValue="9oXa9f1QgfUiwLYCVe5eFZbGGqq51ms/7VA7CFK6Lc9l2sTFsk7cPgEgY3eNbiw/Ln1sc51P0OOkIwr3y3Qg+w==" saltValue="A9v6FzXK4DwKhMM02Fy6fQ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E10"/>
  <sheetViews>
    <sheetView showGridLines="0" showRowColHeader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1" customWidth="1"/>
    <col min="4" max="5" width="25.6640625" style="1" customWidth="1"/>
    <col min="6" max="6" width="26.33203125" style="1" customWidth="1"/>
    <col min="7" max="7" width="50.109375" style="1" customWidth="1"/>
    <col min="8" max="8" width="40.6640625" style="1" customWidth="1"/>
    <col min="9" max="9" width="22.109375" style="6" customWidth="1"/>
    <col min="10" max="24" width="15.6640625" style="7" customWidth="1"/>
    <col min="25" max="25" width="17" style="7" customWidth="1"/>
    <col min="26" max="29" width="15.6640625" style="7" customWidth="1"/>
    <col min="30" max="30" width="2.88671875" style="1" customWidth="1"/>
    <col min="31" max="16384" width="8.88671875" style="1"/>
  </cols>
  <sheetData>
    <row r="1" spans="1:31" s="11" customFormat="1" ht="49.95" customHeight="1" x14ac:dyDescent="0.3">
      <c r="A1" s="12"/>
      <c r="B1" s="12"/>
      <c r="C1" s="12"/>
      <c r="D1" s="12"/>
      <c r="E1" s="82" t="s">
        <v>44</v>
      </c>
      <c r="F1" s="83"/>
      <c r="G1" s="83"/>
      <c r="H1" s="12"/>
      <c r="I1" s="12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E1" s="14" t="s">
        <v>28</v>
      </c>
    </row>
    <row r="2" spans="1:31" s="25" customFormat="1" ht="18" x14ac:dyDescent="0.3">
      <c r="A2" s="20" t="s">
        <v>28</v>
      </c>
      <c r="B2" s="21" t="s">
        <v>1</v>
      </c>
      <c r="C2" s="21" t="s">
        <v>6</v>
      </c>
      <c r="D2" s="21" t="s">
        <v>7</v>
      </c>
      <c r="E2" s="21" t="s">
        <v>2</v>
      </c>
      <c r="F2" s="21" t="s">
        <v>3</v>
      </c>
      <c r="G2" s="21" t="s">
        <v>4</v>
      </c>
      <c r="H2" s="21" t="s">
        <v>5</v>
      </c>
      <c r="I2" s="22" t="s">
        <v>0</v>
      </c>
      <c r="J2" s="23" t="s">
        <v>8</v>
      </c>
      <c r="K2" s="23" t="s">
        <v>9</v>
      </c>
      <c r="L2" s="23" t="s">
        <v>10</v>
      </c>
      <c r="M2" s="23" t="s">
        <v>11</v>
      </c>
      <c r="N2" s="23" t="s">
        <v>12</v>
      </c>
      <c r="O2" s="23" t="s">
        <v>13</v>
      </c>
      <c r="P2" s="23" t="s">
        <v>14</v>
      </c>
      <c r="Q2" s="23" t="s">
        <v>15</v>
      </c>
      <c r="R2" s="23" t="s">
        <v>16</v>
      </c>
      <c r="S2" s="23" t="s">
        <v>17</v>
      </c>
      <c r="T2" s="23" t="s">
        <v>18</v>
      </c>
      <c r="U2" s="23" t="s">
        <v>19</v>
      </c>
      <c r="V2" s="23" t="s">
        <v>24</v>
      </c>
      <c r="W2" s="23" t="s">
        <v>25</v>
      </c>
      <c r="X2" s="23" t="s">
        <v>26</v>
      </c>
      <c r="Y2" s="23" t="s">
        <v>27</v>
      </c>
      <c r="Z2" s="23" t="s">
        <v>20</v>
      </c>
      <c r="AA2" s="23" t="s">
        <v>21</v>
      </c>
      <c r="AB2" s="23" t="s">
        <v>22</v>
      </c>
      <c r="AC2" s="23" t="s">
        <v>23</v>
      </c>
      <c r="AD2" s="24"/>
      <c r="AE2" s="9">
        <v>8</v>
      </c>
    </row>
    <row r="3" spans="1:31" x14ac:dyDescent="0.3">
      <c r="A3" s="3">
        <v>1</v>
      </c>
      <c r="B3" s="4" t="s">
        <v>52</v>
      </c>
      <c r="C3" s="4" t="s">
        <v>63</v>
      </c>
      <c r="D3" s="4"/>
      <c r="E3" s="4">
        <v>11996773063</v>
      </c>
      <c r="F3" s="4"/>
      <c r="G3" s="4"/>
      <c r="H3" s="4" t="s">
        <v>92</v>
      </c>
      <c r="I3" s="5">
        <v>45261</v>
      </c>
      <c r="J3" s="8" t="s">
        <v>53</v>
      </c>
      <c r="K3" s="8" t="s">
        <v>54</v>
      </c>
      <c r="L3" s="8">
        <v>10</v>
      </c>
      <c r="M3" s="8">
        <v>32</v>
      </c>
      <c r="N3" s="8" t="s">
        <v>55</v>
      </c>
      <c r="O3" s="8">
        <v>20</v>
      </c>
      <c r="P3" s="8" t="s">
        <v>56</v>
      </c>
      <c r="Q3" s="8" t="s">
        <v>57</v>
      </c>
      <c r="R3" s="8">
        <v>170</v>
      </c>
      <c r="S3" s="8">
        <v>32</v>
      </c>
      <c r="T3" s="8" t="s">
        <v>55</v>
      </c>
      <c r="U3" s="8">
        <v>20</v>
      </c>
      <c r="V3" s="8" t="s">
        <v>58</v>
      </c>
      <c r="W3" s="8" t="s">
        <v>54</v>
      </c>
      <c r="X3" s="8">
        <v>10</v>
      </c>
      <c r="Y3" s="8">
        <v>32</v>
      </c>
      <c r="Z3" s="8" t="s">
        <v>59</v>
      </c>
      <c r="AA3" s="8" t="s">
        <v>57</v>
      </c>
      <c r="AB3" s="8">
        <v>170</v>
      </c>
      <c r="AC3" s="8">
        <v>32</v>
      </c>
      <c r="AD3" s="46"/>
    </row>
    <row r="4" spans="1:31" x14ac:dyDescent="0.3">
      <c r="A4" s="3">
        <v>2</v>
      </c>
      <c r="B4" s="4" t="s">
        <v>64</v>
      </c>
      <c r="C4" s="4">
        <v>35</v>
      </c>
      <c r="D4" s="4"/>
      <c r="E4" s="4">
        <v>11941875014</v>
      </c>
      <c r="F4" s="4"/>
      <c r="G4" s="4"/>
      <c r="H4" s="4" t="s">
        <v>72</v>
      </c>
      <c r="I4" s="47" t="s">
        <v>65</v>
      </c>
      <c r="J4" s="8">
        <v>0</v>
      </c>
      <c r="K4" s="8">
        <v>0</v>
      </c>
      <c r="L4" s="8">
        <v>0</v>
      </c>
      <c r="M4" s="8"/>
      <c r="N4" s="8">
        <v>0</v>
      </c>
      <c r="O4" s="8">
        <v>0</v>
      </c>
      <c r="P4" s="8">
        <v>0</v>
      </c>
      <c r="Q4" s="8">
        <v>0</v>
      </c>
      <c r="R4" s="8">
        <v>0</v>
      </c>
      <c r="S4" s="8"/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31" x14ac:dyDescent="0.3">
      <c r="A5" s="3">
        <v>3</v>
      </c>
      <c r="B5" s="4" t="s">
        <v>68</v>
      </c>
      <c r="C5" s="4">
        <v>36</v>
      </c>
      <c r="D5" s="4"/>
      <c r="E5" s="4">
        <v>11974661323</v>
      </c>
      <c r="F5" s="4"/>
      <c r="G5" s="4"/>
      <c r="H5" s="4" t="s">
        <v>73</v>
      </c>
      <c r="I5" s="47" t="s">
        <v>69</v>
      </c>
      <c r="J5" s="8" t="s">
        <v>70</v>
      </c>
      <c r="K5" s="8">
        <v>0</v>
      </c>
      <c r="L5" s="8">
        <v>0</v>
      </c>
      <c r="M5" s="8">
        <v>30</v>
      </c>
      <c r="N5" s="8">
        <v>0</v>
      </c>
      <c r="O5" s="8">
        <v>0</v>
      </c>
      <c r="P5" s="8" t="s">
        <v>70</v>
      </c>
      <c r="Q5" s="8">
        <v>0</v>
      </c>
      <c r="R5" s="8">
        <v>0</v>
      </c>
      <c r="S5" s="8">
        <v>29.5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</row>
    <row r="6" spans="1:31" x14ac:dyDescent="0.3">
      <c r="A6" s="3">
        <v>4</v>
      </c>
      <c r="B6" s="4" t="s">
        <v>74</v>
      </c>
      <c r="C6" s="4">
        <v>37</v>
      </c>
      <c r="D6" s="4"/>
      <c r="E6" s="4">
        <v>11941447046</v>
      </c>
      <c r="F6" s="4"/>
      <c r="G6" s="4"/>
      <c r="H6" s="4" t="s">
        <v>91</v>
      </c>
      <c r="I6" s="47" t="s">
        <v>75</v>
      </c>
      <c r="J6" s="8" t="s">
        <v>76</v>
      </c>
      <c r="K6" s="8" t="s">
        <v>77</v>
      </c>
      <c r="L6" s="8">
        <v>90</v>
      </c>
      <c r="M6" s="8">
        <v>31</v>
      </c>
      <c r="N6" s="8">
        <v>0</v>
      </c>
      <c r="O6" s="8">
        <v>0</v>
      </c>
      <c r="P6" s="8" t="s">
        <v>76</v>
      </c>
      <c r="Q6" s="8" t="s">
        <v>78</v>
      </c>
      <c r="R6" s="8">
        <v>20</v>
      </c>
      <c r="S6" s="8">
        <v>30</v>
      </c>
      <c r="T6" s="8">
        <v>0</v>
      </c>
      <c r="U6" s="8">
        <v>0</v>
      </c>
      <c r="V6" s="8" t="s">
        <v>79</v>
      </c>
      <c r="W6" s="8" t="s">
        <v>77</v>
      </c>
      <c r="X6" s="8">
        <v>90</v>
      </c>
      <c r="Y6" s="8">
        <v>31</v>
      </c>
      <c r="Z6" s="8" t="s">
        <v>79</v>
      </c>
      <c r="AA6" s="8" t="s">
        <v>78</v>
      </c>
      <c r="AB6" s="8">
        <v>20</v>
      </c>
      <c r="AC6" s="8">
        <v>30</v>
      </c>
    </row>
    <row r="7" spans="1:31" x14ac:dyDescent="0.3">
      <c r="A7" s="3">
        <v>5</v>
      </c>
      <c r="B7" s="4" t="s">
        <v>89</v>
      </c>
      <c r="C7" s="4">
        <v>38</v>
      </c>
      <c r="D7" s="4"/>
      <c r="E7" s="4" t="s">
        <v>84</v>
      </c>
      <c r="F7" s="4"/>
      <c r="G7" s="4"/>
      <c r="H7" s="4" t="s">
        <v>90</v>
      </c>
      <c r="I7" s="47" t="s">
        <v>85</v>
      </c>
      <c r="J7" s="8" t="s">
        <v>86</v>
      </c>
      <c r="K7" s="8" t="s">
        <v>78</v>
      </c>
      <c r="L7" s="8">
        <v>115</v>
      </c>
      <c r="M7" s="8">
        <v>27</v>
      </c>
      <c r="N7" s="8">
        <v>0</v>
      </c>
      <c r="O7" s="8">
        <v>0</v>
      </c>
      <c r="P7" s="8" t="s">
        <v>87</v>
      </c>
      <c r="Q7" s="8" t="s">
        <v>77</v>
      </c>
      <c r="R7" s="8">
        <v>60</v>
      </c>
      <c r="S7" s="8">
        <v>27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</row>
    <row r="8" spans="1:31" x14ac:dyDescent="0.3">
      <c r="A8" s="3">
        <v>6</v>
      </c>
      <c r="B8" s="4" t="s">
        <v>93</v>
      </c>
      <c r="C8" s="4" t="s">
        <v>100</v>
      </c>
      <c r="D8" s="4"/>
      <c r="E8" s="4" t="s">
        <v>94</v>
      </c>
      <c r="F8" s="4"/>
      <c r="G8" s="4"/>
      <c r="H8" s="4" t="s">
        <v>95</v>
      </c>
      <c r="I8" s="47" t="s">
        <v>96</v>
      </c>
      <c r="J8" s="8" t="s">
        <v>97</v>
      </c>
      <c r="K8" s="8" t="s">
        <v>70</v>
      </c>
      <c r="L8" s="8">
        <v>155</v>
      </c>
      <c r="M8" s="8">
        <v>31</v>
      </c>
      <c r="N8" s="8">
        <v>0</v>
      </c>
      <c r="O8" s="8">
        <v>22</v>
      </c>
      <c r="P8" s="8" t="s">
        <v>97</v>
      </c>
      <c r="Q8" s="8" t="s">
        <v>98</v>
      </c>
      <c r="R8" s="8">
        <v>15</v>
      </c>
      <c r="S8" s="8">
        <v>31</v>
      </c>
      <c r="T8" s="8">
        <v>0</v>
      </c>
      <c r="U8" s="8">
        <v>22</v>
      </c>
      <c r="V8" s="8" t="s">
        <v>55</v>
      </c>
      <c r="W8" s="8" t="s">
        <v>70</v>
      </c>
      <c r="X8" s="8">
        <v>155</v>
      </c>
      <c r="Y8" s="8">
        <v>31</v>
      </c>
      <c r="Z8" s="8" t="s">
        <v>55</v>
      </c>
      <c r="AA8" s="8" t="s">
        <v>98</v>
      </c>
      <c r="AB8" s="8">
        <v>15</v>
      </c>
      <c r="AC8" s="8">
        <v>31</v>
      </c>
    </row>
    <row r="9" spans="1:31" x14ac:dyDescent="0.3">
      <c r="A9" s="3">
        <v>7</v>
      </c>
      <c r="B9" s="4" t="s">
        <v>102</v>
      </c>
      <c r="C9" s="4" t="s">
        <v>103</v>
      </c>
      <c r="D9" s="4"/>
      <c r="E9" s="4">
        <v>11961805927</v>
      </c>
      <c r="F9" s="4"/>
      <c r="G9" s="4"/>
      <c r="H9" s="4" t="s">
        <v>107</v>
      </c>
      <c r="I9" s="47" t="s">
        <v>96</v>
      </c>
      <c r="J9" s="8" t="s">
        <v>56</v>
      </c>
      <c r="K9" s="8" t="s">
        <v>78</v>
      </c>
      <c r="L9" s="8">
        <v>5</v>
      </c>
      <c r="M9" s="8">
        <v>31</v>
      </c>
      <c r="N9" s="8">
        <v>0</v>
      </c>
      <c r="O9" s="8">
        <v>23</v>
      </c>
      <c r="P9" s="8" t="s">
        <v>56</v>
      </c>
      <c r="Q9" s="8" t="s">
        <v>78</v>
      </c>
      <c r="R9" s="8">
        <v>135</v>
      </c>
      <c r="S9" s="8">
        <v>30</v>
      </c>
      <c r="T9" s="8">
        <v>0</v>
      </c>
      <c r="U9" s="8">
        <v>23</v>
      </c>
      <c r="V9" s="8" t="s">
        <v>104</v>
      </c>
      <c r="W9" s="8" t="s">
        <v>78</v>
      </c>
      <c r="X9" s="8">
        <v>5</v>
      </c>
      <c r="Y9" s="8">
        <v>31</v>
      </c>
      <c r="Z9" s="8" t="s">
        <v>104</v>
      </c>
      <c r="AA9" s="8" t="s">
        <v>78</v>
      </c>
      <c r="AB9" s="8">
        <v>135</v>
      </c>
      <c r="AC9" s="8">
        <v>30</v>
      </c>
    </row>
    <row r="10" spans="1:31" x14ac:dyDescent="0.3">
      <c r="A10" s="3"/>
      <c r="B10" s="4"/>
      <c r="C10" s="4"/>
      <c r="D10" s="4"/>
      <c r="E10" s="4"/>
      <c r="F10" s="4"/>
      <c r="G10" s="4"/>
      <c r="H10" s="4"/>
      <c r="I10" s="47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</sheetData>
  <sheetProtection algorithmName="SHA-512" hashValue="zNYBiVvPj+PfHwUnScTxiI1ye4MY4zSlgblFQdlIz+/FDCctkusq+WSGdDYNI3MURNDlqnxuYgLDPf/x6zJk8A==" saltValue="bXletPWhnCubNytpGyVYgQ==" spinCount="100000" sheet="1" objects="1" scenarios="1"/>
  <mergeCells count="1">
    <mergeCell ref="E1:G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9"/>
  <sheetViews>
    <sheetView showGridLines="0" showRowColHeaders="0" zoomScaleNormal="100" workbookViewId="0">
      <pane ySplit="2" topLeftCell="A3" activePane="bottomLeft" state="frozen"/>
      <selection pane="bottomLeft" activeCell="B1" sqref="B1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72" customWidth="1"/>
    <col min="16" max="17" width="15.6640625" style="2" customWidth="1"/>
    <col min="18" max="18" width="15.6640625" style="72" customWidth="1"/>
    <col min="19" max="19" width="15.6640625" style="75" customWidth="1"/>
    <col min="20" max="20" width="15.6640625" style="72" customWidth="1"/>
    <col min="21" max="21" width="15.6640625" style="75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6"/>
      <c r="B1" s="56"/>
      <c r="C1" s="56"/>
      <c r="D1" s="56"/>
      <c r="E1" s="56"/>
      <c r="F1" s="84" t="s">
        <v>45</v>
      </c>
      <c r="G1" s="84"/>
      <c r="H1" s="84"/>
      <c r="I1" s="84"/>
      <c r="J1" s="57"/>
      <c r="K1" s="57"/>
      <c r="L1" s="57"/>
      <c r="M1" s="57"/>
      <c r="N1" s="57"/>
      <c r="O1" s="69"/>
      <c r="P1" s="58"/>
      <c r="Q1" s="58"/>
      <c r="R1" s="69"/>
      <c r="S1" s="74"/>
      <c r="T1" s="69"/>
      <c r="U1" s="74"/>
      <c r="V1" s="59"/>
      <c r="W1" s="60" t="s">
        <v>28</v>
      </c>
      <c r="X1" s="59"/>
      <c r="Y1" s="59"/>
    </row>
    <row r="2" spans="1:25" ht="18" x14ac:dyDescent="0.3">
      <c r="A2" s="61" t="s">
        <v>28</v>
      </c>
      <c r="B2" s="62" t="s">
        <v>29</v>
      </c>
      <c r="C2" s="62" t="s">
        <v>6</v>
      </c>
      <c r="D2" s="62" t="s">
        <v>114</v>
      </c>
      <c r="E2" s="62" t="s">
        <v>30</v>
      </c>
      <c r="F2" s="62" t="s">
        <v>31</v>
      </c>
      <c r="G2" s="62" t="s">
        <v>32</v>
      </c>
      <c r="H2" s="62" t="s">
        <v>33</v>
      </c>
      <c r="I2" s="63" t="s">
        <v>0</v>
      </c>
      <c r="J2" s="64" t="s">
        <v>51</v>
      </c>
      <c r="K2" s="64" t="s">
        <v>34</v>
      </c>
      <c r="L2" s="64" t="s">
        <v>35</v>
      </c>
      <c r="M2" s="64" t="s">
        <v>36</v>
      </c>
      <c r="N2" s="64" t="s">
        <v>108</v>
      </c>
      <c r="O2" s="70" t="s">
        <v>38</v>
      </c>
      <c r="P2" s="65" t="s">
        <v>112</v>
      </c>
      <c r="Q2" s="65" t="s">
        <v>109</v>
      </c>
      <c r="R2" s="73" t="s">
        <v>110</v>
      </c>
      <c r="S2" s="54" t="s">
        <v>111</v>
      </c>
      <c r="T2" s="73" t="s">
        <v>37</v>
      </c>
      <c r="U2" s="77" t="s">
        <v>113</v>
      </c>
      <c r="W2" s="9">
        <v>8</v>
      </c>
    </row>
    <row r="3" spans="1:25" x14ac:dyDescent="0.3">
      <c r="A3" s="10">
        <v>1</v>
      </c>
      <c r="B3" s="10">
        <v>0</v>
      </c>
      <c r="C3" s="10" t="s">
        <v>62</v>
      </c>
      <c r="D3" s="10" t="s">
        <v>52</v>
      </c>
      <c r="E3" s="10" t="s">
        <v>61</v>
      </c>
      <c r="F3" s="10" t="s">
        <v>60</v>
      </c>
      <c r="G3" s="10">
        <v>1</v>
      </c>
      <c r="H3" s="10" t="s">
        <v>41</v>
      </c>
      <c r="I3" s="41">
        <v>44938</v>
      </c>
      <c r="J3" s="40">
        <v>12</v>
      </c>
      <c r="K3" s="40">
        <v>0</v>
      </c>
      <c r="L3" s="40">
        <v>7</v>
      </c>
      <c r="M3" s="40">
        <v>66.900000000000006</v>
      </c>
      <c r="N3" s="40">
        <f t="shared" ref="N3:N10" ca="1" si="0">IF(N3=0,0)</f>
        <v>0</v>
      </c>
      <c r="O3" s="55">
        <f ca="1">Tabela4[[#This Row],[MONTAGEM]]+Tabela4[[#This Row],[ARMAÇÃO]]+Tabela4[[#This Row],[CAIXINHA/SPRAY]]+Tabela4[[#This Row],[LENTE]]+Tabela4[[#This Row],[TAXA]]</f>
        <v>85.9</v>
      </c>
      <c r="P3" s="66">
        <v>750</v>
      </c>
      <c r="Q3" s="66">
        <v>0</v>
      </c>
      <c r="R3" s="55">
        <f>IF(Tabela4[[#This Row],[SINAL]]=0,0,Tabela4[[#This Row],[VALOR VENDA]]-Tabela4[[#This Row],[SINAL]])</f>
        <v>0</v>
      </c>
      <c r="S3" s="52">
        <f ca="1">Tabela4[[#This Row],[VALOR VENDA]]-Tabela4[[#This Row],[TAXA]]</f>
        <v>750</v>
      </c>
      <c r="T3" s="76">
        <f ca="1">Tabela4[[#This Row],[QT]]*Tabela4[[#This Row],[VALOR VENDA]]-Tabela4[[#This Row],[TOTAL DE CUSTO]]</f>
        <v>664.1</v>
      </c>
      <c r="U3" s="78">
        <f ca="1">Tabela4[[#This Row],[LUCRO]]/Tabela4[[#This Row],[TOTAL DE CUSTO]]</f>
        <v>7.7310826542491267</v>
      </c>
      <c r="X3" s="67"/>
    </row>
    <row r="4" spans="1:25" x14ac:dyDescent="0.3">
      <c r="A4" s="48">
        <v>2</v>
      </c>
      <c r="B4" s="48">
        <v>0</v>
      </c>
      <c r="C4" s="48">
        <v>454659</v>
      </c>
      <c r="D4" s="48" t="s">
        <v>64</v>
      </c>
      <c r="E4" s="48" t="s">
        <v>66</v>
      </c>
      <c r="F4" s="48" t="s">
        <v>67</v>
      </c>
      <c r="G4" s="48">
        <v>1</v>
      </c>
      <c r="H4" s="48" t="s">
        <v>40</v>
      </c>
      <c r="I4" s="50" t="s">
        <v>65</v>
      </c>
      <c r="J4" s="49">
        <v>12</v>
      </c>
      <c r="K4" s="49">
        <v>25</v>
      </c>
      <c r="L4" s="49">
        <v>7</v>
      </c>
      <c r="M4" s="49">
        <v>25</v>
      </c>
      <c r="N4" s="40">
        <f t="shared" ca="1" si="0"/>
        <v>0</v>
      </c>
      <c r="O4" s="51">
        <f ca="1">Tabela4[[#This Row],[MONTAGEM]]+Tabela4[[#This Row],[ARMAÇÃO]]+Tabela4[[#This Row],[CAIXINHA/SPRAY]]+Tabela4[[#This Row],[LENTE]]+Tabela4[[#This Row],[TAXA]]</f>
        <v>69</v>
      </c>
      <c r="P4" s="66">
        <v>250</v>
      </c>
      <c r="Q4" s="66">
        <v>0</v>
      </c>
      <c r="R4" s="51">
        <f>IF(Tabela4[[#This Row],[SINAL]]=0,0,Tabela4[[#This Row],[VALOR VENDA]]-Tabela4[[#This Row],[SINAL]])</f>
        <v>0</v>
      </c>
      <c r="S4" s="52">
        <f ca="1">Tabela4[[#This Row],[VALOR VENDA]]-Tabela4[[#This Row],[TAXA]]</f>
        <v>250</v>
      </c>
      <c r="T4" s="52">
        <f ca="1">Tabela4[[#This Row],[QT]]*Tabela4[[#This Row],[VALOR VENDA]]-Tabela4[[#This Row],[TOTAL DE CUSTO]]</f>
        <v>181</v>
      </c>
      <c r="U4" s="53">
        <f ca="1">Tabela4[[#This Row],[LUCRO]]/Tabela4[[#This Row],[TOTAL DE CUSTO]]</f>
        <v>2.6231884057971016</v>
      </c>
    </row>
    <row r="5" spans="1:25" x14ac:dyDescent="0.3">
      <c r="A5" s="48">
        <v>3</v>
      </c>
      <c r="B5" s="48">
        <v>0</v>
      </c>
      <c r="C5" s="48">
        <v>36</v>
      </c>
      <c r="D5" s="48" t="s">
        <v>68</v>
      </c>
      <c r="E5" s="48" t="s">
        <v>71</v>
      </c>
      <c r="F5" s="48" t="s">
        <v>83</v>
      </c>
      <c r="G5" s="48">
        <v>1</v>
      </c>
      <c r="H5" s="48" t="s">
        <v>41</v>
      </c>
      <c r="I5" s="50" t="s">
        <v>69</v>
      </c>
      <c r="J5" s="49">
        <v>12</v>
      </c>
      <c r="K5" s="49">
        <v>25</v>
      </c>
      <c r="L5" s="49">
        <v>7</v>
      </c>
      <c r="M5" s="49">
        <v>25</v>
      </c>
      <c r="N5" s="40">
        <f ca="1">IF(N5=0,0)</f>
        <v>0</v>
      </c>
      <c r="O5" s="51">
        <f ca="1">Tabela4[[#This Row],[MONTAGEM]]+Tabela4[[#This Row],[ARMAÇÃO]]+Tabela4[[#This Row],[CAIXINHA/SPRAY]]+Tabela4[[#This Row],[LENTE]]+Tabela4[[#This Row],[TAXA]]</f>
        <v>69</v>
      </c>
      <c r="P5" s="66">
        <v>399.9</v>
      </c>
      <c r="Q5" s="66">
        <v>0</v>
      </c>
      <c r="R5" s="51">
        <f>IF(Tabela4[[#This Row],[SINAL]]=0,0,Tabela4[[#This Row],[VALOR VENDA]]-Tabela4[[#This Row],[SINAL]])</f>
        <v>0</v>
      </c>
      <c r="S5" s="52">
        <f ca="1">Tabela4[[#This Row],[VALOR VENDA]]-Tabela4[[#This Row],[TAXA]]</f>
        <v>399.9</v>
      </c>
      <c r="T5" s="52">
        <f ca="1">Tabela4[[#This Row],[QT]]*Tabela4[[#This Row],[VALOR VENDA]]-Tabela4[[#This Row],[TOTAL DE CUSTO]]</f>
        <v>330.9</v>
      </c>
      <c r="U5" s="53">
        <f ca="1">Tabela4[[#This Row],[LUCRO]]/Tabela4[[#This Row],[TOTAL DE CUSTO]]</f>
        <v>4.7956521739130435</v>
      </c>
    </row>
    <row r="6" spans="1:25" x14ac:dyDescent="0.3">
      <c r="A6" s="48">
        <v>4</v>
      </c>
      <c r="B6" s="48">
        <v>0</v>
      </c>
      <c r="C6" s="48">
        <v>37</v>
      </c>
      <c r="D6" s="48" t="s">
        <v>74</v>
      </c>
      <c r="E6" s="48" t="s">
        <v>80</v>
      </c>
      <c r="F6" s="48" t="s">
        <v>81</v>
      </c>
      <c r="G6" s="48">
        <v>1</v>
      </c>
      <c r="H6" s="48" t="s">
        <v>82</v>
      </c>
      <c r="I6" s="50" t="s">
        <v>75</v>
      </c>
      <c r="J6" s="49">
        <v>12</v>
      </c>
      <c r="K6" s="49">
        <v>25</v>
      </c>
      <c r="L6" s="49">
        <v>7</v>
      </c>
      <c r="M6" s="49">
        <v>0</v>
      </c>
      <c r="N6" s="40">
        <f t="shared" ca="1" si="0"/>
        <v>0</v>
      </c>
      <c r="O6" s="51">
        <f ca="1">Tabela4[[#This Row],[MONTAGEM]]+Tabela4[[#This Row],[ARMAÇÃO]]+Tabela4[[#This Row],[CAIXINHA/SPRAY]]+Tabela4[[#This Row],[LENTE]]+Tabela4[[#This Row],[TAXA]]</f>
        <v>44</v>
      </c>
      <c r="P6" s="66">
        <v>400</v>
      </c>
      <c r="Q6" s="66">
        <v>0</v>
      </c>
      <c r="R6" s="51">
        <f>IF(Tabela4[[#This Row],[SINAL]]=0,0,Tabela4[[#This Row],[VALOR VENDA]]-Tabela4[[#This Row],[SINAL]])</f>
        <v>0</v>
      </c>
      <c r="S6" s="52">
        <f ca="1">Tabela4[[#This Row],[VALOR VENDA]]-Tabela4[[#This Row],[TAXA]]</f>
        <v>400</v>
      </c>
      <c r="T6" s="52">
        <f ca="1">Tabela4[[#This Row],[QT]]*Tabela4[[#This Row],[VALOR VENDA]]-Tabela4[[#This Row],[TOTAL DE CUSTO]]</f>
        <v>356</v>
      </c>
      <c r="U6" s="53">
        <f ca="1">Tabela4[[#This Row],[LUCRO]]/Tabela4[[#This Row],[TOTAL DE CUSTO]]</f>
        <v>8.0909090909090917</v>
      </c>
    </row>
    <row r="7" spans="1:25" x14ac:dyDescent="0.3">
      <c r="A7" s="48">
        <v>5</v>
      </c>
      <c r="B7" s="48">
        <v>0</v>
      </c>
      <c r="C7" s="48">
        <v>38</v>
      </c>
      <c r="D7" s="48" t="s">
        <v>89</v>
      </c>
      <c r="E7" s="48" t="s">
        <v>88</v>
      </c>
      <c r="F7" s="48" t="s">
        <v>90</v>
      </c>
      <c r="G7" s="48">
        <v>1</v>
      </c>
      <c r="H7" s="48" t="s">
        <v>39</v>
      </c>
      <c r="I7" s="50" t="s">
        <v>85</v>
      </c>
      <c r="J7" s="49">
        <v>12</v>
      </c>
      <c r="K7" s="49">
        <v>25</v>
      </c>
      <c r="L7" s="49">
        <v>7</v>
      </c>
      <c r="M7" s="49">
        <v>25</v>
      </c>
      <c r="N7" s="40">
        <f t="shared" ca="1" si="0"/>
        <v>0</v>
      </c>
      <c r="O7" s="51">
        <f ca="1">Tabela4[[#This Row],[MONTAGEM]]+Tabela4[[#This Row],[ARMAÇÃO]]+Tabela4[[#This Row],[CAIXINHA/SPRAY]]+Tabela4[[#This Row],[LENTE]]+Tabela4[[#This Row],[TAXA]]</f>
        <v>69</v>
      </c>
      <c r="P7" s="66">
        <v>260</v>
      </c>
      <c r="Q7" s="66">
        <v>0</v>
      </c>
      <c r="R7" s="51">
        <f>IF(Tabela4[[#This Row],[SINAL]]=0,0,Tabela4[[#This Row],[VALOR VENDA]]-Tabela4[[#This Row],[SINAL]])</f>
        <v>0</v>
      </c>
      <c r="S7" s="52">
        <f ca="1">Tabela4[[#This Row],[VALOR VENDA]]-Tabela4[[#This Row],[TAXA]]</f>
        <v>260</v>
      </c>
      <c r="T7" s="52">
        <f ca="1">Tabela4[[#This Row],[QT]]*Tabela4[[#This Row],[VALOR VENDA]]-Tabela4[[#This Row],[TOTAL DE CUSTO]]</f>
        <v>191</v>
      </c>
      <c r="U7" s="53">
        <f ca="1">Tabela4[[#This Row],[LUCRO]]/Tabela4[[#This Row],[TOTAL DE CUSTO]]</f>
        <v>2.7681159420289854</v>
      </c>
    </row>
    <row r="8" spans="1:25" x14ac:dyDescent="0.3">
      <c r="A8" s="48">
        <v>6</v>
      </c>
      <c r="B8" s="48">
        <v>0</v>
      </c>
      <c r="C8" s="48">
        <v>34</v>
      </c>
      <c r="D8" s="48" t="s">
        <v>93</v>
      </c>
      <c r="E8" s="48" t="s">
        <v>99</v>
      </c>
      <c r="F8" s="48" t="s">
        <v>101</v>
      </c>
      <c r="G8" s="48">
        <v>1</v>
      </c>
      <c r="H8" s="48" t="s">
        <v>39</v>
      </c>
      <c r="I8" s="50" t="s">
        <v>96</v>
      </c>
      <c r="J8" s="49">
        <v>12</v>
      </c>
      <c r="K8" s="49">
        <v>25</v>
      </c>
      <c r="L8" s="49">
        <v>7</v>
      </c>
      <c r="M8" s="49">
        <v>119</v>
      </c>
      <c r="N8" s="40">
        <v>21.88</v>
      </c>
      <c r="O8" s="51">
        <f>Tabela4[[#This Row],[MONTAGEM]]+Tabela4[[#This Row],[ARMAÇÃO]]+Tabela4[[#This Row],[CAIXINHA/SPRAY]]+Tabela4[[#This Row],[LENTE]]+Tabela4[[#This Row],[TAXA]]</f>
        <v>184.88</v>
      </c>
      <c r="P8" s="66">
        <v>750</v>
      </c>
      <c r="Q8" s="66">
        <v>0</v>
      </c>
      <c r="R8" s="51">
        <f>IF(Tabela4[[#This Row],[SINAL]]=0,0,Tabela4[[#This Row],[VALOR VENDA]]-Tabela4[[#This Row],[SINAL]])</f>
        <v>0</v>
      </c>
      <c r="S8" s="52">
        <f>Tabela4[[#This Row],[VALOR VENDA]]-Tabela4[[#This Row],[TAXA]]</f>
        <v>728.12</v>
      </c>
      <c r="T8" s="52">
        <f>Tabela4[[#This Row],[QT]]*Tabela4[[#This Row],[VALOR VENDA]]-Tabela4[[#This Row],[TOTAL DE CUSTO]]</f>
        <v>565.12</v>
      </c>
      <c r="U8" s="53">
        <f>Tabela4[[#This Row],[LUCRO]]/Tabela4[[#This Row],[TOTAL DE CUSTO]]</f>
        <v>3.0566854175681524</v>
      </c>
    </row>
    <row r="9" spans="1:25" x14ac:dyDescent="0.3">
      <c r="A9" s="48">
        <v>7</v>
      </c>
      <c r="B9" s="48">
        <v>0</v>
      </c>
      <c r="C9" s="48" t="s">
        <v>103</v>
      </c>
      <c r="D9" s="4" t="s">
        <v>102</v>
      </c>
      <c r="E9" s="48" t="s">
        <v>105</v>
      </c>
      <c r="F9" s="48" t="s">
        <v>106</v>
      </c>
      <c r="G9" s="48">
        <v>1</v>
      </c>
      <c r="H9" s="48" t="s">
        <v>41</v>
      </c>
      <c r="I9" s="50" t="s">
        <v>96</v>
      </c>
      <c r="J9" s="49">
        <v>12</v>
      </c>
      <c r="K9" s="49">
        <v>25</v>
      </c>
      <c r="L9" s="49">
        <v>7</v>
      </c>
      <c r="M9" s="49">
        <v>119</v>
      </c>
      <c r="N9" s="40">
        <f t="shared" ca="1" si="0"/>
        <v>0</v>
      </c>
      <c r="O9" s="51">
        <f ca="1">Tabela4[[#This Row],[MONTAGEM]]+Tabela4[[#This Row],[ARMAÇÃO]]+Tabela4[[#This Row],[CAIXINHA/SPRAY]]+Tabela4[[#This Row],[LENTE]]+Tabela4[[#This Row],[TAXA]]</f>
        <v>163</v>
      </c>
      <c r="P9" s="66">
        <v>750</v>
      </c>
      <c r="Q9" s="66">
        <v>0</v>
      </c>
      <c r="R9" s="51">
        <f>IF(Tabela4[[#This Row],[SINAL]]=0,0,Tabela4[[#This Row],[VALOR VENDA]]-Tabela4[[#This Row],[SINAL]])</f>
        <v>0</v>
      </c>
      <c r="S9" s="52">
        <f ca="1">Tabela4[[#This Row],[VALOR VENDA]]-Tabela4[[#This Row],[TAXA]]</f>
        <v>750</v>
      </c>
      <c r="T9" s="52">
        <f ca="1">Tabela4[[#This Row],[QT]]*Tabela4[[#This Row],[VALOR VENDA]]-Tabela4[[#This Row],[TOTAL DE CUSTO]]</f>
        <v>587</v>
      </c>
      <c r="U9" s="53">
        <f ca="1">Tabela4[[#This Row],[LUCRO]]/Tabela4[[#This Row],[TOTAL DE CUSTO]]</f>
        <v>3.6012269938650308</v>
      </c>
    </row>
    <row r="10" spans="1:25" x14ac:dyDescent="0.3">
      <c r="A10" s="48"/>
      <c r="B10" s="48"/>
      <c r="C10" s="48"/>
      <c r="D10" s="48"/>
      <c r="E10" s="48"/>
      <c r="F10" s="48"/>
      <c r="G10" s="48"/>
      <c r="H10" s="48"/>
      <c r="I10" s="50"/>
      <c r="J10" s="49"/>
      <c r="K10" s="49"/>
      <c r="L10" s="49"/>
      <c r="M10" s="49"/>
      <c r="N10" s="40">
        <f t="shared" ca="1" si="0"/>
        <v>0</v>
      </c>
      <c r="O10" s="51">
        <f ca="1">Tabela4[[#This Row],[MONTAGEM]]+Tabela4[[#This Row],[ARMAÇÃO]]+Tabela4[[#This Row],[CAIXINHA/SPRAY]]+Tabela4[[#This Row],[LENTE]]+Tabela4[[#This Row],[TAXA]]</f>
        <v>0</v>
      </c>
      <c r="P10" s="66"/>
      <c r="Q10" s="79"/>
      <c r="R10" s="51">
        <f>IF(Tabela4[[#This Row],[SINAL]]=0,0,Tabela4[[#This Row],[VALOR VENDA]]-Tabela4[[#This Row],[SINAL]])</f>
        <v>0</v>
      </c>
      <c r="S10" s="52">
        <f ca="1">Tabela4[[#This Row],[VALOR VENDA]]-Tabela4[[#This Row],[TAXA]]</f>
        <v>0</v>
      </c>
      <c r="T10" s="52">
        <f ca="1">Tabela4[[#This Row],[QT]]*Tabela4[[#This Row],[VALOR VENDA]]-Tabela4[[#This Row],[TOTAL DE CUSTO]]</f>
        <v>0</v>
      </c>
      <c r="U10" s="53" t="e">
        <f ca="1">Tabela4[[#This Row],[LUCRO]]/Tabela4[[#This Row],[TOTAL DE CUSTO]]</f>
        <v>#DIV/0!</v>
      </c>
    </row>
    <row r="11" spans="1:25" x14ac:dyDescent="0.3">
      <c r="O11" s="71"/>
      <c r="P11" s="42"/>
      <c r="Q11" s="42"/>
      <c r="R11" s="71"/>
    </row>
    <row r="12" spans="1:25" x14ac:dyDescent="0.3">
      <c r="O12" s="71"/>
      <c r="P12" s="42"/>
      <c r="Q12" s="42"/>
      <c r="R12" s="71"/>
    </row>
    <row r="13" spans="1:25" x14ac:dyDescent="0.3">
      <c r="O13" s="71"/>
      <c r="P13" s="42"/>
      <c r="Q13" s="42"/>
      <c r="R13" s="71"/>
    </row>
    <row r="14" spans="1:25" x14ac:dyDescent="0.3">
      <c r="N14" s="68"/>
      <c r="O14" s="71"/>
      <c r="P14" s="42"/>
      <c r="Q14" s="42"/>
      <c r="R14" s="71"/>
    </row>
    <row r="15" spans="1:25" x14ac:dyDescent="0.3">
      <c r="O15" s="71"/>
      <c r="P15" s="42"/>
      <c r="Q15" s="42"/>
      <c r="R15" s="71"/>
    </row>
    <row r="16" spans="1:25" x14ac:dyDescent="0.3">
      <c r="O16" s="71"/>
      <c r="P16" s="42"/>
      <c r="Q16" s="42"/>
      <c r="R16" s="71"/>
    </row>
    <row r="17" spans="15:18" x14ac:dyDescent="0.3">
      <c r="O17" s="71"/>
      <c r="P17" s="42"/>
      <c r="Q17" s="42"/>
      <c r="R17" s="71"/>
    </row>
    <row r="18" spans="15:18" x14ac:dyDescent="0.3">
      <c r="O18" s="71"/>
      <c r="P18" s="42"/>
      <c r="Q18" s="42"/>
      <c r="R18" s="71"/>
    </row>
    <row r="19" spans="15:18" x14ac:dyDescent="0.3">
      <c r="O19" s="71"/>
      <c r="P19" s="42"/>
      <c r="Q19" s="42"/>
      <c r="R19" s="71"/>
    </row>
  </sheetData>
  <mergeCells count="1">
    <mergeCell ref="F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/>
  </sheetViews>
  <sheetFormatPr defaultColWidth="8.88671875" defaultRowHeight="14.4" x14ac:dyDescent="0.3"/>
  <cols>
    <col min="1" max="16384" width="8.88671875" style="32"/>
  </cols>
  <sheetData>
    <row r="1" spans="1:26" s="11" customFormat="1" ht="49.95" customHeight="1" x14ac:dyDescent="0.3">
      <c r="A1" s="26"/>
      <c r="B1" s="27"/>
      <c r="C1" s="27"/>
      <c r="D1" s="27"/>
      <c r="E1" s="27"/>
      <c r="F1" s="85" t="s">
        <v>50</v>
      </c>
      <c r="G1" s="85"/>
      <c r="H1" s="85"/>
      <c r="I1" s="85"/>
      <c r="J1" s="85"/>
      <c r="K1" s="27"/>
      <c r="L1" s="27"/>
      <c r="M1" s="27"/>
      <c r="N1" s="27"/>
      <c r="O1" s="27"/>
      <c r="P1" s="28"/>
      <c r="Q1" s="28"/>
      <c r="R1" s="28"/>
      <c r="S1" s="29"/>
      <c r="T1" s="27"/>
      <c r="U1" s="30"/>
      <c r="V1" s="27"/>
      <c r="W1" s="31"/>
      <c r="X1" s="13"/>
      <c r="Y1" s="13"/>
      <c r="Z1" s="13"/>
    </row>
  </sheetData>
  <sheetProtection algorithmName="SHA-512" hashValue="N+Nm5rzjnbyj71O22VEnGGz1tPbmH1tjYx/UT8Oshys927RMnoDP+q9B+SrFzKrqzFCeOMgGfp1B+7xpy6+fuA==" saltValue="LCADgoCc+y8QDQhM3ldsng==" spinCount="100000" sheet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workbookViewId="0">
      <selection activeCell="H21" sqref="H21"/>
    </sheetView>
  </sheetViews>
  <sheetFormatPr defaultColWidth="8.88671875" defaultRowHeight="14.4" x14ac:dyDescent="0.3"/>
  <cols>
    <col min="1" max="1" width="20" style="16" customWidth="1"/>
    <col min="2" max="2" width="6.33203125" style="16" customWidth="1"/>
    <col min="3" max="3" width="13.44140625" style="16" customWidth="1"/>
    <col min="4" max="4" width="9" style="45" customWidth="1"/>
    <col min="5" max="5" width="8.88671875" style="45"/>
    <col min="6" max="16384" width="8.88671875" style="16"/>
  </cols>
  <sheetData>
    <row r="1" spans="1:5" ht="31.2" customHeight="1" x14ac:dyDescent="0.3">
      <c r="A1" s="38" t="s">
        <v>33</v>
      </c>
      <c r="B1" s="15" t="s">
        <v>47</v>
      </c>
      <c r="C1" s="15" t="s">
        <v>49</v>
      </c>
      <c r="D1" s="43" t="s">
        <v>37</v>
      </c>
      <c r="E1" s="43" t="s">
        <v>48</v>
      </c>
    </row>
    <row r="2" spans="1:5" x14ac:dyDescent="0.3">
      <c r="A2" s="39" t="s">
        <v>41</v>
      </c>
      <c r="B2" s="17">
        <v>1</v>
      </c>
      <c r="C2" s="18" t="str">
        <f>IF(B2=1,"janeiro","")</f>
        <v>janeiro</v>
      </c>
      <c r="D2" s="44">
        <f ca="1">SUMPRODUCT((MONTH(Tabela4[DATA])=B2)*(Tabela4[LUCRO]))</f>
        <v>4359</v>
      </c>
      <c r="E2" s="44">
        <f ca="1">SUMPRODUCT((MONTH(Tabela4[DATA])=B2)*(Tabela4[TOTAL DE CUSTO]))</f>
        <v>900.9</v>
      </c>
    </row>
    <row r="3" spans="1:5" x14ac:dyDescent="0.3">
      <c r="A3" s="39" t="s">
        <v>40</v>
      </c>
      <c r="B3" s="17">
        <v>2</v>
      </c>
      <c r="C3" s="18" t="str">
        <f>IF(B3=2,"Fevereiro","")</f>
        <v>Fevereiro</v>
      </c>
      <c r="D3" s="44">
        <f ca="1">SUMPRODUCT((MONTH(Tabela4[DATA])=B3)*(Tabela4[LUCRO]))</f>
        <v>0</v>
      </c>
      <c r="E3" s="44">
        <f ca="1">SUMPRODUCT((MONTH(Tabela4[DATA])=B3)*(Tabela4[TOTAL DE CUSTO]))</f>
        <v>0</v>
      </c>
    </row>
    <row r="4" spans="1:5" x14ac:dyDescent="0.3">
      <c r="A4" s="39" t="s">
        <v>39</v>
      </c>
      <c r="B4" s="17">
        <v>3</v>
      </c>
      <c r="C4" s="18" t="str">
        <f>IF(B4=3,"Março","")</f>
        <v>Março</v>
      </c>
      <c r="D4" s="44">
        <f ca="1">SUMPRODUCT((MONTH(Tabela4[DATA])=B4)*(Tabela4[LUCRO]))</f>
        <v>0</v>
      </c>
      <c r="E4" s="44">
        <f ca="1">SUMPRODUCT((MONTH(Tabela4[DATA])=B4)*(Tabela4[TOTAL DE CUSTO]))</f>
        <v>0</v>
      </c>
    </row>
    <row r="5" spans="1:5" x14ac:dyDescent="0.3">
      <c r="A5" s="39" t="s">
        <v>42</v>
      </c>
      <c r="B5" s="17">
        <v>4</v>
      </c>
      <c r="C5" s="18" t="str">
        <f>IF(B5=4,"Abril","")</f>
        <v>Abril</v>
      </c>
      <c r="D5" s="44">
        <f ca="1">SUMPRODUCT((MONTH(Tabela4[DATA])=B5)*(Tabela4[LUCRO]))</f>
        <v>0</v>
      </c>
      <c r="E5" s="44">
        <f ca="1">SUMPRODUCT((MONTH(Tabela4[DATA])=B5)*(Tabela4[TOTAL DE CUSTO]))</f>
        <v>0</v>
      </c>
    </row>
    <row r="6" spans="1:5" x14ac:dyDescent="0.3">
      <c r="B6" s="17">
        <v>5</v>
      </c>
      <c r="C6" s="18" t="str">
        <f>IF(B6=5,"Maio","")</f>
        <v>Maio</v>
      </c>
      <c r="D6" s="44">
        <f ca="1">SUMPRODUCT((MONTH(Tabela4[DATA])=B6)*(Tabela4[LUCRO]))</f>
        <v>0</v>
      </c>
      <c r="E6" s="44">
        <f ca="1">SUMPRODUCT((MONTH(Tabela4[DATA])=B6)*(Tabela4[TOTAL DE CUSTO]))</f>
        <v>0</v>
      </c>
    </row>
    <row r="7" spans="1:5" x14ac:dyDescent="0.3">
      <c r="B7" s="17">
        <v>6</v>
      </c>
      <c r="C7" s="18" t="str">
        <f>IF(B7=6,"Junho","")</f>
        <v>Junho</v>
      </c>
      <c r="D7" s="44">
        <f ca="1">SUMPRODUCT((MONTH(Tabela4[DATA])=B7)*(Tabela4[LUCRO]))</f>
        <v>0</v>
      </c>
      <c r="E7" s="44">
        <f ca="1">SUMPRODUCT((MONTH(Tabela4[DATA])=B7)*(Tabela4[TOTAL DE CUSTO]))</f>
        <v>0</v>
      </c>
    </row>
    <row r="8" spans="1:5" x14ac:dyDescent="0.3">
      <c r="B8" s="17">
        <v>7</v>
      </c>
      <c r="C8" s="18" t="str">
        <f>IF(B8=7,"Julho","")</f>
        <v>Julho</v>
      </c>
      <c r="D8" s="44">
        <f ca="1">SUMPRODUCT((MONTH(Tabela4[DATA])=B8)*(Tabela4[LUCRO]))</f>
        <v>0</v>
      </c>
      <c r="E8" s="44">
        <f ca="1">SUMPRODUCT((MONTH(Tabela4[DATA])=B8)*(Tabela4[TOTAL DE CUSTO]))</f>
        <v>0</v>
      </c>
    </row>
    <row r="9" spans="1:5" x14ac:dyDescent="0.3">
      <c r="B9" s="17">
        <v>8</v>
      </c>
      <c r="C9" s="18" t="str">
        <f>IF(B9=8,"Agosto","")</f>
        <v>Agosto</v>
      </c>
      <c r="D9" s="44">
        <f ca="1">SUMPRODUCT((MONTH(Tabela4[DATA])=B9)*(Tabela4[LUCRO]))</f>
        <v>0</v>
      </c>
      <c r="E9" s="44">
        <f ca="1">SUMPRODUCT((MONTH(Tabela4[DATA])=B9)*(Tabela4[TOTAL DE CUSTO]))</f>
        <v>0</v>
      </c>
    </row>
    <row r="10" spans="1:5" x14ac:dyDescent="0.3">
      <c r="B10" s="17">
        <v>9</v>
      </c>
      <c r="C10" s="18" t="str">
        <f>IF(B10=9,"Setembro","")</f>
        <v>Setembro</v>
      </c>
      <c r="D10" s="44">
        <f ca="1">SUMPRODUCT((MONTH(Tabela4[DATA])=B10)*(Tabela4[LUCRO]))</f>
        <v>0</v>
      </c>
      <c r="E10" s="44">
        <f ca="1">SUMPRODUCT((MONTH(Tabela4[DATA])=B10)*(Tabela4[TOTAL DE CUSTO]))</f>
        <v>0</v>
      </c>
    </row>
    <row r="11" spans="1:5" x14ac:dyDescent="0.3">
      <c r="B11" s="17">
        <v>10</v>
      </c>
      <c r="C11" s="18" t="str">
        <f>IF(B11=10,"Outubro","")</f>
        <v>Outubro</v>
      </c>
      <c r="D11" s="44">
        <f ca="1">SUMPRODUCT((MONTH(Tabela4[DATA])=B11)*(Tabela4[LUCRO]))</f>
        <v>0</v>
      </c>
      <c r="E11" s="44">
        <f ca="1">SUMPRODUCT((MONTH(Tabela4[DATA])=B11)*(Tabela4[TOTAL DE CUSTO]))</f>
        <v>0</v>
      </c>
    </row>
    <row r="12" spans="1:5" x14ac:dyDescent="0.3">
      <c r="B12" s="17">
        <v>11</v>
      </c>
      <c r="C12" s="18" t="str">
        <f>IF(B12=11,"Novembro","")</f>
        <v>Novembro</v>
      </c>
      <c r="D12" s="44">
        <f ca="1">SUMPRODUCT((MONTH(Tabela4[DATA])=B12)*(Tabela4[LUCRO]))</f>
        <v>0</v>
      </c>
      <c r="E12" s="44">
        <f ca="1">SUMPRODUCT((MONTH(Tabela4[DATA])=B12)*(Tabela4[TOTAL DE CUSTO]))</f>
        <v>0</v>
      </c>
    </row>
    <row r="13" spans="1:5" x14ac:dyDescent="0.3">
      <c r="B13" s="17">
        <v>12</v>
      </c>
      <c r="C13" s="18" t="str">
        <f>IF(B13=12,"Dezembro","")</f>
        <v>Dezembro</v>
      </c>
      <c r="D13" s="44">
        <f ca="1">SUMPRODUCT((MONTH(Tabela4[DATA])=B13)*(Tabela4[LUCRO]))</f>
        <v>0</v>
      </c>
      <c r="E13" s="44">
        <f ca="1">SUMPRODUCT((MONTH(Tabela4[DATA])=B13)*(Tabela4[TOTAL DE CUSTO]))</f>
        <v>0</v>
      </c>
    </row>
  </sheetData>
  <sheetProtection algorithmName="SHA-512" hashValue="7PuWKGU7LJYEbSdngu1dxXaKtd+95i7ddj9lecGmZ5UZgwm9mAbla06fc+1IwJn3a1bJvnakjD/iN5H29yVEog==" saltValue="ZF1FCN630kdqiv062wQqaw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2023-01-25T23:58:22Z</dcterms:modified>
</cp:coreProperties>
</file>