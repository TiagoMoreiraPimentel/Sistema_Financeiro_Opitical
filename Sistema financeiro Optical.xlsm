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0BEE77EE-7AAD-40AA-87B9-E32670DE042E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9" i="9"/>
  <c r="O6" i="9"/>
  <c r="O8" i="9"/>
  <c r="T8" i="9" s="1"/>
  <c r="U8" i="9" s="1"/>
  <c r="R10" i="9"/>
  <c r="R3" i="9"/>
  <c r="R4" i="9"/>
  <c r="R5" i="9"/>
  <c r="R6" i="9"/>
  <c r="R7" i="9"/>
  <c r="R8" i="9"/>
  <c r="R9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8" i="9" l="1"/>
  <c r="T6" i="9"/>
  <c r="U6" i="9" s="1"/>
  <c r="S6" i="9" l="1"/>
  <c r="O3" i="9"/>
  <c r="T3" i="9" s="1"/>
  <c r="S3" i="9"/>
  <c r="U3" i="9" l="1"/>
  <c r="S4" i="9"/>
  <c r="S5" i="9"/>
  <c r="O5" i="9"/>
  <c r="T5" i="9" s="1"/>
  <c r="U5" i="9" s="1"/>
  <c r="O4" i="9"/>
  <c r="T4" i="9" s="1"/>
  <c r="U4" i="9" l="1"/>
  <c r="S7" i="9"/>
  <c r="O7" i="9"/>
  <c r="T7" i="9" l="1"/>
  <c r="U7" i="9" s="1"/>
  <c r="S9" i="9"/>
  <c r="T9" i="9"/>
  <c r="U9" i="9" l="1"/>
  <c r="S10" i="9"/>
  <c r="T10" i="9"/>
  <c r="U10" i="9" l="1"/>
  <c r="E10" i="10"/>
  <c r="E13" i="10"/>
  <c r="E9" i="10"/>
  <c r="E2" i="10"/>
  <c r="E6" i="10"/>
  <c r="E12" i="10"/>
  <c r="E8" i="10"/>
  <c r="E5" i="10"/>
  <c r="E3" i="10"/>
  <c r="E4" i="10"/>
  <c r="E7" i="10"/>
  <c r="E11" i="10"/>
  <c r="D13" i="10"/>
  <c r="D5" i="10"/>
  <c r="D10" i="10"/>
  <c r="D2" i="10"/>
  <c r="D3" i="10"/>
  <c r="D9" i="10"/>
  <c r="D12" i="10"/>
  <c r="D4" i="10"/>
  <c r="D6" i="10"/>
  <c r="D8" i="10"/>
  <c r="D11" i="10"/>
  <c r="D7" i="10"/>
</calcChain>
</file>

<file path=xl/sharedStrings.xml><?xml version="1.0" encoding="utf-8"?>
<sst xmlns="http://schemas.openxmlformats.org/spreadsheetml/2006/main" count="167" uniqueCount="114">
  <si>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</si>
  <si>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</si>
  <si>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</si>
  <si>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</si>
  <si>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</si>
  <si>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</si>
  <si>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</si>
  <si>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</si>
  <si>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</si>
  <si>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</si>
  <si>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</si>
  <si>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</si>
  <si>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</si>
  <si>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</si>
  <si>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</si>
  <si>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</si>
  <si>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</si>
  <si>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</si>
  <si>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</si>
  <si>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</si>
  <si>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</si>
  <si>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</si>
  <si>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</si>
  <si>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</si>
  <si>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</si>
  <si>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</si>
  <si>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</si>
  <si>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</si>
  <si>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</si>
  <si>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</si>
  <si>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</si>
  <si>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</si>
  <si>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</si>
  <si>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</si>
  <si>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</si>
  <si>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</si>
  <si>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</si>
  <si>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</si>
  <si>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TOTAL DE CUSTO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</si>
  <si>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</si>
  <si>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</si>
  <si>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</si>
  <si>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</si>
  <si>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</si>
  <si>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</si>
  <si>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</si>
  <si>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</si>
  <si>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</si>
  <si>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</si>
  <si>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</si>
  <si>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</si>
  <si>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</si>
  <si>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</si>
  <si>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</si>
  <si>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</si>
  <si>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</si>
  <si>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</si>
  <si>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</si>
  <si>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</si>
  <si>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</si>
  <si>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</si>
  <si>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</si>
  <si>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</si>
  <si>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</si>
  <si>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</si>
  <si>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</si>
  <si>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</si>
  <si>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</si>
  <si>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</si>
  <si>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</si>
  <si>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</si>
  <si>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</si>
  <si>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</si>
  <si>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</si>
  <si>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</si>
  <si>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</si>
  <si>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</si>
  <si>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</si>
  <si>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</si>
  <si>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</si>
  <si>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</si>
  <si>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</si>
  <si>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</si>
  <si>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(11)93150-5272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</si>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</sst>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1/12/2023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VENDAS'!$O$3:$O$1013</c15:sqref>
                  </c15:fullRef>
                </c:ext>
              </c:extLst>
              <c:f>('DADOS VENDAS'!$O$3:$O$23,'DADOS VENDAS'!$O$1008:$O$1013)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VENDAS'!$I$3:$I$25</c15:sqref>
                  </c15:fullRef>
                </c:ext>
              </c:extLst>
              <c:f>'DADOS VENDAS'!$I$3:$I$23</c:f>
              <c:strCache>
                <c:ptCount val="7"/>
                <c:pt idx="0">
                  <c:v>1/12/2023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VENDAS'!$T$3:$T$1013</c15:sqref>
                  </c15:fullRef>
                </c:ext>
              </c:extLst>
              <c:f>('DADOS VENDAS'!$T$3:$T$23,'DADOS VENDAS'!$T$1008:$T$1013)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0" totalsRowShown="0" headerRowDxfId="57" dataDxfId="56" tableBorderDxfId="55">
  <autoFilter ref="A2:AC10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0" totalsRowShown="0" headerRowDxfId="25" dataDxfId="23" headerRowBorderDxfId="24" tableBorderDxfId="22" totalsRowBorderDxfId="21">
  <autoFilter ref="A2:U10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DE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DE CUSTO]]</calculatedColumnFormula>
    </tableColumn>
    <tableColumn id="17" xr3:uid="{F1F51FB2-7426-41B0-9C94-BBA4EAAAE3A1}" name="LUCRO/%" dataDxfId="0">
      <calculatedColumnFormula>IF(O3=0,0,Tabela4[[#This Row],[LUCRO]]/Tabela4[[#This Row],[TOTAL DE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0" t="s">
        <v>46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1" t="s">
        <v>43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0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1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12"/>
      <c r="D1" s="12"/>
      <c r="E1" s="82" t="s">
        <v>44</v>
      </c>
      <c r="F1" s="83"/>
      <c r="G1" s="83"/>
      <c r="H1" s="12"/>
      <c r="I1" s="12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21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x14ac:dyDescent="0.3">
      <c r="A3" s="3">
        <v>1</v>
      </c>
      <c r="B3" s="4" t="s">
        <v>52</v>
      </c>
      <c r="C3" s="4" t="s">
        <v>63</v>
      </c>
      <c r="D3" s="4"/>
      <c r="E3" s="4">
        <v>11996773063</v>
      </c>
      <c r="F3" s="4"/>
      <c r="G3" s="4"/>
      <c r="H3" s="4" t="s">
        <v>91</v>
      </c>
      <c r="I3" s="5">
        <v>45261</v>
      </c>
      <c r="J3" s="8" t="s">
        <v>53</v>
      </c>
      <c r="K3" s="8" t="s">
        <v>54</v>
      </c>
      <c r="L3" s="8">
        <v>10</v>
      </c>
      <c r="M3" s="8">
        <v>32</v>
      </c>
      <c r="N3" s="8" t="s">
        <v>55</v>
      </c>
      <c r="O3" s="8">
        <v>20</v>
      </c>
      <c r="P3" s="8" t="s">
        <v>56</v>
      </c>
      <c r="Q3" s="8" t="s">
        <v>57</v>
      </c>
      <c r="R3" s="8">
        <v>170</v>
      </c>
      <c r="S3" s="8">
        <v>32</v>
      </c>
      <c r="T3" s="8" t="s">
        <v>55</v>
      </c>
      <c r="U3" s="8">
        <v>20</v>
      </c>
      <c r="V3" s="8" t="s">
        <v>58</v>
      </c>
      <c r="W3" s="8" t="s">
        <v>54</v>
      </c>
      <c r="X3" s="8">
        <v>10</v>
      </c>
      <c r="Y3" s="8">
        <v>32</v>
      </c>
      <c r="Z3" s="8" t="s">
        <v>59</v>
      </c>
      <c r="AA3" s="8" t="s">
        <v>57</v>
      </c>
      <c r="AB3" s="8">
        <v>170</v>
      </c>
      <c r="AC3" s="8">
        <v>32</v>
      </c>
      <c r="AD3" s="46"/>
    </row>
    <row r="4" spans="1:31" x14ac:dyDescent="0.3">
      <c r="A4" s="3">
        <v>2</v>
      </c>
      <c r="B4" s="4" t="s">
        <v>64</v>
      </c>
      <c r="C4" s="4">
        <v>35</v>
      </c>
      <c r="D4" s="4"/>
      <c r="E4" s="4">
        <v>11941875014</v>
      </c>
      <c r="F4" s="4"/>
      <c r="G4" s="4"/>
      <c r="H4" s="4" t="s">
        <v>72</v>
      </c>
      <c r="I4" s="47" t="s">
        <v>65</v>
      </c>
      <c r="J4" s="8">
        <v>0</v>
      </c>
      <c r="K4" s="8">
        <v>0</v>
      </c>
      <c r="L4" s="8">
        <v>0</v>
      </c>
      <c r="M4" s="8"/>
      <c r="N4" s="8">
        <v>0</v>
      </c>
      <c r="O4" s="8">
        <v>0</v>
      </c>
      <c r="P4" s="8">
        <v>0</v>
      </c>
      <c r="Q4" s="8">
        <v>0</v>
      </c>
      <c r="R4" s="8">
        <v>0</v>
      </c>
      <c r="S4" s="8"/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31" x14ac:dyDescent="0.3">
      <c r="A5" s="3">
        <v>3</v>
      </c>
      <c r="B5" s="4" t="s">
        <v>68</v>
      </c>
      <c r="C5" s="4">
        <v>36</v>
      </c>
      <c r="D5" s="4"/>
      <c r="E5" s="4">
        <v>11974661323</v>
      </c>
      <c r="F5" s="4"/>
      <c r="G5" s="4"/>
      <c r="H5" s="4" t="s">
        <v>73</v>
      </c>
      <c r="I5" s="47" t="s">
        <v>69</v>
      </c>
      <c r="J5" s="8" t="s">
        <v>70</v>
      </c>
      <c r="K5" s="8">
        <v>0</v>
      </c>
      <c r="L5" s="8">
        <v>0</v>
      </c>
      <c r="M5" s="8">
        <v>30</v>
      </c>
      <c r="N5" s="8">
        <v>0</v>
      </c>
      <c r="O5" s="8">
        <v>0</v>
      </c>
      <c r="P5" s="8" t="s">
        <v>70</v>
      </c>
      <c r="Q5" s="8">
        <v>0</v>
      </c>
      <c r="R5" s="8">
        <v>0</v>
      </c>
      <c r="S5" s="8">
        <v>29.5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4</v>
      </c>
      <c r="B6" s="4" t="s">
        <v>74</v>
      </c>
      <c r="C6" s="4">
        <v>37</v>
      </c>
      <c r="D6" s="4"/>
      <c r="E6" s="4">
        <v>11941447046</v>
      </c>
      <c r="F6" s="4"/>
      <c r="G6" s="4"/>
      <c r="H6" s="4" t="s">
        <v>90</v>
      </c>
      <c r="I6" s="47" t="s">
        <v>75</v>
      </c>
      <c r="J6" s="8" t="s">
        <v>76</v>
      </c>
      <c r="K6" s="8" t="s">
        <v>77</v>
      </c>
      <c r="L6" s="8">
        <v>90</v>
      </c>
      <c r="M6" s="8">
        <v>31</v>
      </c>
      <c r="N6" s="8">
        <v>0</v>
      </c>
      <c r="O6" s="8">
        <v>0</v>
      </c>
      <c r="P6" s="8" t="s">
        <v>76</v>
      </c>
      <c r="Q6" s="8" t="s">
        <v>78</v>
      </c>
      <c r="R6" s="8">
        <v>20</v>
      </c>
      <c r="S6" s="8">
        <v>30</v>
      </c>
      <c r="T6" s="8">
        <v>0</v>
      </c>
      <c r="U6" s="8">
        <v>0</v>
      </c>
      <c r="V6" s="8" t="s">
        <v>79</v>
      </c>
      <c r="W6" s="8" t="s">
        <v>77</v>
      </c>
      <c r="X6" s="8">
        <v>90</v>
      </c>
      <c r="Y6" s="8">
        <v>31</v>
      </c>
      <c r="Z6" s="8" t="s">
        <v>79</v>
      </c>
      <c r="AA6" s="8" t="s">
        <v>78</v>
      </c>
      <c r="AB6" s="8">
        <v>20</v>
      </c>
      <c r="AC6" s="8">
        <v>30</v>
      </c>
    </row>
    <row r="7" spans="1:31" x14ac:dyDescent="0.3">
      <c r="A7" s="3">
        <v>5</v>
      </c>
      <c r="B7" s="4" t="s">
        <v>88</v>
      </c>
      <c r="C7" s="4">
        <v>38</v>
      </c>
      <c r="D7" s="4"/>
      <c r="E7" s="4" t="s">
        <v>83</v>
      </c>
      <c r="F7" s="4"/>
      <c r="G7" s="4"/>
      <c r="H7" s="4" t="s">
        <v>89</v>
      </c>
      <c r="I7" s="47" t="s">
        <v>84</v>
      </c>
      <c r="J7" s="8" t="s">
        <v>85</v>
      </c>
      <c r="K7" s="8" t="s">
        <v>78</v>
      </c>
      <c r="L7" s="8">
        <v>115</v>
      </c>
      <c r="M7" s="8">
        <v>27</v>
      </c>
      <c r="N7" s="8">
        <v>0</v>
      </c>
      <c r="O7" s="8">
        <v>0</v>
      </c>
      <c r="P7" s="8" t="s">
        <v>86</v>
      </c>
      <c r="Q7" s="8" t="s">
        <v>77</v>
      </c>
      <c r="R7" s="8">
        <v>60</v>
      </c>
      <c r="S7" s="8">
        <v>27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</row>
    <row r="8" spans="1:31" x14ac:dyDescent="0.3">
      <c r="A8" s="3">
        <v>6</v>
      </c>
      <c r="B8" s="4" t="s">
        <v>92</v>
      </c>
      <c r="C8" s="4" t="s">
        <v>99</v>
      </c>
      <c r="D8" s="4"/>
      <c r="E8" s="4" t="s">
        <v>93</v>
      </c>
      <c r="F8" s="4"/>
      <c r="G8" s="4"/>
      <c r="H8" s="4" t="s">
        <v>94</v>
      </c>
      <c r="I8" s="47" t="s">
        <v>95</v>
      </c>
      <c r="J8" s="8" t="s">
        <v>96</v>
      </c>
      <c r="K8" s="8" t="s">
        <v>70</v>
      </c>
      <c r="L8" s="8">
        <v>155</v>
      </c>
      <c r="M8" s="8">
        <v>31</v>
      </c>
      <c r="N8" s="8">
        <v>0</v>
      </c>
      <c r="O8" s="8">
        <v>22</v>
      </c>
      <c r="P8" s="8" t="s">
        <v>96</v>
      </c>
      <c r="Q8" s="8" t="s">
        <v>97</v>
      </c>
      <c r="R8" s="8">
        <v>15</v>
      </c>
      <c r="S8" s="8">
        <v>31</v>
      </c>
      <c r="T8" s="8">
        <v>0</v>
      </c>
      <c r="U8" s="8">
        <v>22</v>
      </c>
      <c r="V8" s="8" t="s">
        <v>55</v>
      </c>
      <c r="W8" s="8" t="s">
        <v>70</v>
      </c>
      <c r="X8" s="8">
        <v>155</v>
      </c>
      <c r="Y8" s="8">
        <v>31</v>
      </c>
      <c r="Z8" s="8" t="s">
        <v>55</v>
      </c>
      <c r="AA8" s="8" t="s">
        <v>97</v>
      </c>
      <c r="AB8" s="8">
        <v>15</v>
      </c>
      <c r="AC8" s="8">
        <v>31</v>
      </c>
    </row>
    <row r="9" spans="1:31" x14ac:dyDescent="0.3">
      <c r="A9" s="3">
        <v>7</v>
      </c>
      <c r="B9" s="4" t="s">
        <v>101</v>
      </c>
      <c r="C9" s="4" t="s">
        <v>102</v>
      </c>
      <c r="D9" s="4"/>
      <c r="E9" s="4">
        <v>11961805927</v>
      </c>
      <c r="F9" s="4"/>
      <c r="G9" s="4"/>
      <c r="H9" s="4" t="s">
        <v>106</v>
      </c>
      <c r="I9" s="47" t="s">
        <v>95</v>
      </c>
      <c r="J9" s="8" t="s">
        <v>56</v>
      </c>
      <c r="K9" s="8" t="s">
        <v>78</v>
      </c>
      <c r="L9" s="8">
        <v>5</v>
      </c>
      <c r="M9" s="8">
        <v>31</v>
      </c>
      <c r="N9" s="8">
        <v>0</v>
      </c>
      <c r="O9" s="8">
        <v>23</v>
      </c>
      <c r="P9" s="8" t="s">
        <v>56</v>
      </c>
      <c r="Q9" s="8" t="s">
        <v>78</v>
      </c>
      <c r="R9" s="8">
        <v>135</v>
      </c>
      <c r="S9" s="8">
        <v>30</v>
      </c>
      <c r="T9" s="8">
        <v>0</v>
      </c>
      <c r="U9" s="8">
        <v>23</v>
      </c>
      <c r="V9" s="8" t="s">
        <v>103</v>
      </c>
      <c r="W9" s="8" t="s">
        <v>78</v>
      </c>
      <c r="X9" s="8">
        <v>5</v>
      </c>
      <c r="Y9" s="8">
        <v>31</v>
      </c>
      <c r="Z9" s="8" t="s">
        <v>103</v>
      </c>
      <c r="AA9" s="8" t="s">
        <v>78</v>
      </c>
      <c r="AB9" s="8">
        <v>135</v>
      </c>
      <c r="AC9" s="8">
        <v>30</v>
      </c>
    </row>
    <row r="10" spans="1:31" x14ac:dyDescent="0.3">
      <c r="A10" s="3"/>
      <c r="B10" s="4"/>
      <c r="C10" s="4"/>
      <c r="D10" s="4"/>
      <c r="E10" s="4"/>
      <c r="F10" s="4"/>
      <c r="G10" s="4"/>
      <c r="H10" s="4"/>
      <c r="I10" s="47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</sheetData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9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2" customWidth="1"/>
    <col min="16" max="17" width="15.6640625" style="2" customWidth="1"/>
    <col min="18" max="18" width="15.6640625" style="72" customWidth="1"/>
    <col min="19" max="19" width="15.6640625" style="75" customWidth="1"/>
    <col min="20" max="20" width="15.6640625" style="72" customWidth="1"/>
    <col min="21" max="21" width="15.6640625" style="7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6"/>
      <c r="B1" s="56"/>
      <c r="C1" s="56"/>
      <c r="D1" s="56"/>
      <c r="E1" s="84" t="s">
        <v>45</v>
      </c>
      <c r="F1" s="84"/>
      <c r="G1" s="84"/>
      <c r="H1" s="84"/>
      <c r="I1" s="84"/>
      <c r="J1" s="57"/>
      <c r="K1" s="57"/>
      <c r="L1" s="57"/>
      <c r="M1" s="57"/>
      <c r="N1" s="57"/>
      <c r="O1" s="69"/>
      <c r="P1" s="58"/>
      <c r="Q1" s="58"/>
      <c r="R1" s="69"/>
      <c r="S1" s="74"/>
      <c r="T1" s="69"/>
      <c r="U1" s="74"/>
      <c r="V1" s="59"/>
      <c r="W1" s="60" t="s">
        <v>28</v>
      </c>
      <c r="X1" s="59"/>
      <c r="Y1" s="59"/>
    </row>
    <row r="2" spans="1:25" ht="18" x14ac:dyDescent="0.3">
      <c r="A2" s="61" t="s">
        <v>28</v>
      </c>
      <c r="B2" s="62" t="s">
        <v>29</v>
      </c>
      <c r="C2" s="62" t="s">
        <v>6</v>
      </c>
      <c r="D2" s="62" t="s">
        <v>113</v>
      </c>
      <c r="E2" s="62" t="s">
        <v>30</v>
      </c>
      <c r="F2" s="62" t="s">
        <v>31</v>
      </c>
      <c r="G2" s="62" t="s">
        <v>32</v>
      </c>
      <c r="H2" s="62" t="s">
        <v>33</v>
      </c>
      <c r="I2" s="63" t="s">
        <v>0</v>
      </c>
      <c r="J2" s="64" t="s">
        <v>51</v>
      </c>
      <c r="K2" s="64" t="s">
        <v>34</v>
      </c>
      <c r="L2" s="64" t="s">
        <v>35</v>
      </c>
      <c r="M2" s="64" t="s">
        <v>36</v>
      </c>
      <c r="N2" s="64" t="s">
        <v>107</v>
      </c>
      <c r="O2" s="70" t="s">
        <v>38</v>
      </c>
      <c r="P2" s="65" t="s">
        <v>111</v>
      </c>
      <c r="Q2" s="65" t="s">
        <v>108</v>
      </c>
      <c r="R2" s="73" t="s">
        <v>109</v>
      </c>
      <c r="S2" s="54" t="s">
        <v>110</v>
      </c>
      <c r="T2" s="73" t="s">
        <v>37</v>
      </c>
      <c r="U2" s="77" t="s">
        <v>112</v>
      </c>
      <c r="W2" s="9">
        <v>8</v>
      </c>
    </row>
    <row r="3" spans="1:25" x14ac:dyDescent="0.3">
      <c r="A3" s="10">
        <v>1</v>
      </c>
      <c r="B3" s="10">
        <v>0</v>
      </c>
      <c r="C3" s="10" t="s">
        <v>62</v>
      </c>
      <c r="D3" s="10" t="s">
        <v>52</v>
      </c>
      <c r="E3" s="10" t="s">
        <v>61</v>
      </c>
      <c r="F3" s="10" t="s">
        <v>60</v>
      </c>
      <c r="G3" s="10">
        <v>1</v>
      </c>
      <c r="H3" s="10" t="s">
        <v>41</v>
      </c>
      <c r="I3" s="41">
        <v>44938</v>
      </c>
      <c r="J3" s="40">
        <v>12</v>
      </c>
      <c r="K3" s="40">
        <v>0</v>
      </c>
      <c r="L3" s="40">
        <v>7</v>
      </c>
      <c r="M3" s="40">
        <v>66.900000000000006</v>
      </c>
      <c r="N3" s="40">
        <v>0</v>
      </c>
      <c r="O3" s="55">
        <f>Tabela4[[#This Row],[MONTAGEM]]+Tabela4[[#This Row],[ARMAÇÃO]]+Tabela4[[#This Row],[CAIXINHA/SPRAY]]+Tabela4[[#This Row],[LENTE]]+Tabela4[[#This Row],[TAXA]]</f>
        <v>85.9</v>
      </c>
      <c r="P3" s="66">
        <v>750</v>
      </c>
      <c r="Q3" s="66">
        <v>0</v>
      </c>
      <c r="R3" s="55">
        <f>IF(Tabela4[[#This Row],[SINAL]]=0,0,Tabela4[[#This Row],[VALOR VENDA]]-Tabela4[[#This Row],[SINAL]])</f>
        <v>0</v>
      </c>
      <c r="S3" s="52">
        <f>Tabela4[[#This Row],[VALOR VENDA]]-Tabela4[[#This Row],[TAXA]]</f>
        <v>750</v>
      </c>
      <c r="T3" s="76">
        <f>Tabela4[[#This Row],[QT]]*Tabela4[[#This Row],[VALOR VENDA]]-Tabela4[[#This Row],[TOTAL DE CUSTO]]</f>
        <v>664.1</v>
      </c>
      <c r="U3" s="78">
        <f>IF(O3=0,0,Tabela4[[#This Row],[LUCRO]]/Tabela4[[#This Row],[TOTAL DE CUSTO]])</f>
        <v>7.7310826542491267</v>
      </c>
      <c r="X3" s="67"/>
    </row>
    <row r="4" spans="1:25" x14ac:dyDescent="0.3">
      <c r="A4" s="48">
        <v>2</v>
      </c>
      <c r="B4" s="48">
        <v>0</v>
      </c>
      <c r="C4" s="48">
        <v>454659</v>
      </c>
      <c r="D4" s="48" t="s">
        <v>64</v>
      </c>
      <c r="E4" s="48" t="s">
        <v>66</v>
      </c>
      <c r="F4" s="48" t="s">
        <v>67</v>
      </c>
      <c r="G4" s="48">
        <v>1</v>
      </c>
      <c r="H4" s="48" t="s">
        <v>40</v>
      </c>
      <c r="I4" s="50" t="s">
        <v>65</v>
      </c>
      <c r="J4" s="49">
        <v>12</v>
      </c>
      <c r="K4" s="49">
        <v>25</v>
      </c>
      <c r="L4" s="49">
        <v>7</v>
      </c>
      <c r="M4" s="49">
        <v>25</v>
      </c>
      <c r="N4" s="40">
        <v>0</v>
      </c>
      <c r="O4" s="51">
        <f>Tabela4[[#This Row],[MONTAGEM]]+Tabela4[[#This Row],[ARMAÇÃO]]+Tabela4[[#This Row],[CAIXINHA/SPRAY]]+Tabela4[[#This Row],[LENTE]]+Tabela4[[#This Row],[TAXA]]</f>
        <v>69</v>
      </c>
      <c r="P4" s="66">
        <v>250</v>
      </c>
      <c r="Q4" s="66">
        <v>0</v>
      </c>
      <c r="R4" s="51">
        <f>IF(Tabela4[[#This Row],[SINAL]]=0,0,Tabela4[[#This Row],[VALOR VENDA]]-Tabela4[[#This Row],[SINAL]])</f>
        <v>0</v>
      </c>
      <c r="S4" s="52">
        <f>Tabela4[[#This Row],[VALOR VENDA]]-Tabela4[[#This Row],[TAXA]]</f>
        <v>250</v>
      </c>
      <c r="T4" s="52">
        <f>Tabela4[[#This Row],[QT]]*Tabela4[[#This Row],[VALOR VENDA]]-Tabela4[[#This Row],[TOTAL DE CUSTO]]</f>
        <v>181</v>
      </c>
      <c r="U4" s="53">
        <f>IF(O4=0,0,Tabela4[[#This Row],[LUCRO]]/Tabela4[[#This Row],[TOTAL DE CUSTO]])</f>
        <v>2.6231884057971016</v>
      </c>
    </row>
    <row r="5" spans="1:25" x14ac:dyDescent="0.3">
      <c r="A5" s="48">
        <v>3</v>
      </c>
      <c r="B5" s="48">
        <v>0</v>
      </c>
      <c r="C5" s="48">
        <v>36</v>
      </c>
      <c r="D5" s="48" t="s">
        <v>68</v>
      </c>
      <c r="E5" s="48" t="s">
        <v>71</v>
      </c>
      <c r="F5" s="48" t="s">
        <v>82</v>
      </c>
      <c r="G5" s="48">
        <v>1</v>
      </c>
      <c r="H5" s="48" t="s">
        <v>41</v>
      </c>
      <c r="I5" s="50" t="s">
        <v>69</v>
      </c>
      <c r="J5" s="49">
        <v>12</v>
      </c>
      <c r="K5" s="49">
        <v>25</v>
      </c>
      <c r="L5" s="49">
        <v>7</v>
      </c>
      <c r="M5" s="49">
        <v>25</v>
      </c>
      <c r="N5" s="40">
        <v>0</v>
      </c>
      <c r="O5" s="51">
        <f>Tabela4[[#This Row],[MONTAGEM]]+Tabela4[[#This Row],[ARMAÇÃO]]+Tabela4[[#This Row],[CAIXINHA/SPRAY]]+Tabela4[[#This Row],[LENTE]]+Tabela4[[#This Row],[TAXA]]</f>
        <v>69</v>
      </c>
      <c r="P5" s="66">
        <v>399.9</v>
      </c>
      <c r="Q5" s="66">
        <v>0</v>
      </c>
      <c r="R5" s="51">
        <f>IF(Tabela4[[#This Row],[SINAL]]=0,0,Tabela4[[#This Row],[VALOR VENDA]]-Tabela4[[#This Row],[SINAL]])</f>
        <v>0</v>
      </c>
      <c r="S5" s="52">
        <f>Tabela4[[#This Row],[VALOR VENDA]]-Tabela4[[#This Row],[TAXA]]</f>
        <v>399.9</v>
      </c>
      <c r="T5" s="52">
        <f>Tabela4[[#This Row],[QT]]*Tabela4[[#This Row],[VALOR VENDA]]-Tabela4[[#This Row],[TOTAL DE CUSTO]]</f>
        <v>330.9</v>
      </c>
      <c r="U5" s="53">
        <f>IF(O5=0,0,Tabela4[[#This Row],[LUCRO]]/Tabela4[[#This Row],[TOTAL DE CUSTO]])</f>
        <v>4.7956521739130435</v>
      </c>
    </row>
    <row r="6" spans="1:25" x14ac:dyDescent="0.3">
      <c r="A6" s="48">
        <v>4</v>
      </c>
      <c r="B6" s="48">
        <v>0</v>
      </c>
      <c r="C6" s="48">
        <v>37</v>
      </c>
      <c r="D6" s="48" t="s">
        <v>74</v>
      </c>
      <c r="E6" s="48" t="s">
        <v>80</v>
      </c>
      <c r="F6" s="48" t="s">
        <v>81</v>
      </c>
      <c r="G6" s="48">
        <v>1</v>
      </c>
      <c r="H6" s="48" t="s">
        <v>39</v>
      </c>
      <c r="I6" s="50" t="s">
        <v>75</v>
      </c>
      <c r="J6" s="49">
        <v>12</v>
      </c>
      <c r="K6" s="49">
        <v>25</v>
      </c>
      <c r="L6" s="49">
        <v>7</v>
      </c>
      <c r="M6" s="49">
        <v>0</v>
      </c>
      <c r="N6" s="40">
        <v>21.88</v>
      </c>
      <c r="O6" s="51">
        <f>Tabela4[[#This Row],[MONTAGEM]]+Tabela4[[#This Row],[ARMAÇÃO]]+Tabela4[[#This Row],[CAIXINHA/SPRAY]]+Tabela4[[#This Row],[LENTE]]+Tabela4[[#This Row],[TAXA]]</f>
        <v>65.88</v>
      </c>
      <c r="P6" s="66">
        <v>400</v>
      </c>
      <c r="Q6" s="66">
        <v>0</v>
      </c>
      <c r="R6" s="51">
        <f>IF(Tabela4[[#This Row],[SINAL]]=0,0,Tabela4[[#This Row],[VALOR VENDA]]-Tabela4[[#This Row],[SINAL]])</f>
        <v>0</v>
      </c>
      <c r="S6" s="52">
        <f>Tabela4[[#This Row],[VALOR VENDA]]-Tabela4[[#This Row],[TAXA]]</f>
        <v>378.12</v>
      </c>
      <c r="T6" s="52">
        <f>Tabela4[[#This Row],[QT]]*Tabela4[[#This Row],[VALOR VENDA]]-Tabela4[[#This Row],[TOTAL DE CUSTO]]</f>
        <v>334.12</v>
      </c>
      <c r="U6" s="53">
        <f>IF(O6=0,0,Tabela4[[#This Row],[LUCRO]]/Tabela4[[#This Row],[TOTAL DE CUSTO]])</f>
        <v>5.0716454159077111</v>
      </c>
    </row>
    <row r="7" spans="1:25" x14ac:dyDescent="0.3">
      <c r="A7" s="48">
        <v>5</v>
      </c>
      <c r="B7" s="48">
        <v>0</v>
      </c>
      <c r="C7" s="48">
        <v>38</v>
      </c>
      <c r="D7" s="48" t="s">
        <v>88</v>
      </c>
      <c r="E7" s="48" t="s">
        <v>87</v>
      </c>
      <c r="F7" s="48" t="s">
        <v>89</v>
      </c>
      <c r="G7" s="48">
        <v>1</v>
      </c>
      <c r="H7" s="48" t="s">
        <v>39</v>
      </c>
      <c r="I7" s="50" t="s">
        <v>84</v>
      </c>
      <c r="J7" s="49">
        <v>12</v>
      </c>
      <c r="K7" s="49">
        <v>25</v>
      </c>
      <c r="L7" s="49">
        <v>7</v>
      </c>
      <c r="M7" s="49">
        <v>25</v>
      </c>
      <c r="N7" s="40">
        <v>0</v>
      </c>
      <c r="O7" s="51">
        <f>Tabela4[[#This Row],[MONTAGEM]]+Tabela4[[#This Row],[ARMAÇÃO]]+Tabela4[[#This Row],[CAIXINHA/SPRAY]]+Tabela4[[#This Row],[LENTE]]+Tabela4[[#This Row],[TAXA]]</f>
        <v>69</v>
      </c>
      <c r="P7" s="66">
        <v>260</v>
      </c>
      <c r="Q7" s="66">
        <v>0</v>
      </c>
      <c r="R7" s="51">
        <f>IF(Tabela4[[#This Row],[SINAL]]=0,0,Tabela4[[#This Row],[VALOR VENDA]]-Tabela4[[#This Row],[SINAL]])</f>
        <v>0</v>
      </c>
      <c r="S7" s="52">
        <f>Tabela4[[#This Row],[VALOR VENDA]]-Tabela4[[#This Row],[TAXA]]</f>
        <v>260</v>
      </c>
      <c r="T7" s="52">
        <f>Tabela4[[#This Row],[QT]]*Tabela4[[#This Row],[VALOR VENDA]]-Tabela4[[#This Row],[TOTAL DE CUSTO]]</f>
        <v>191</v>
      </c>
      <c r="U7" s="53">
        <f>IF(O7=0,0,Tabela4[[#This Row],[LUCRO]]/Tabela4[[#This Row],[TOTAL DE CUSTO]])</f>
        <v>2.7681159420289854</v>
      </c>
    </row>
    <row r="8" spans="1:25" x14ac:dyDescent="0.3">
      <c r="A8" s="48">
        <v>6</v>
      </c>
      <c r="B8" s="48">
        <v>0</v>
      </c>
      <c r="C8" s="48">
        <v>34</v>
      </c>
      <c r="D8" s="48" t="s">
        <v>92</v>
      </c>
      <c r="E8" s="48" t="s">
        <v>98</v>
      </c>
      <c r="F8" s="48" t="s">
        <v>100</v>
      </c>
      <c r="G8" s="48">
        <v>1</v>
      </c>
      <c r="H8" s="48" t="s">
        <v>39</v>
      </c>
      <c r="I8" s="50" t="s">
        <v>95</v>
      </c>
      <c r="J8" s="49">
        <v>12</v>
      </c>
      <c r="K8" s="49">
        <v>25</v>
      </c>
      <c r="L8" s="49">
        <v>7</v>
      </c>
      <c r="M8" s="49">
        <v>119</v>
      </c>
      <c r="N8" s="40">
        <v>40.950000000000003</v>
      </c>
      <c r="O8" s="51">
        <f>Tabela4[[#This Row],[MONTAGEM]]+Tabela4[[#This Row],[ARMAÇÃO]]+Tabela4[[#This Row],[CAIXINHA/SPRAY]]+Tabela4[[#This Row],[LENTE]]+Tabela4[[#This Row],[TAXA]]</f>
        <v>203.95</v>
      </c>
      <c r="P8" s="66">
        <v>750</v>
      </c>
      <c r="Q8" s="66">
        <v>0</v>
      </c>
      <c r="R8" s="51">
        <f>IF(Tabela4[[#This Row],[SINAL]]=0,0,Tabela4[[#This Row],[VALOR VENDA]]-Tabela4[[#This Row],[SINAL]])</f>
        <v>0</v>
      </c>
      <c r="S8" s="52">
        <f>Tabela4[[#This Row],[VALOR VENDA]]-Tabela4[[#This Row],[TAXA]]</f>
        <v>709.05</v>
      </c>
      <c r="T8" s="52">
        <f>Tabela4[[#This Row],[QT]]*Tabela4[[#This Row],[VALOR VENDA]]-Tabela4[[#This Row],[TOTAL DE CUSTO]]</f>
        <v>546.04999999999995</v>
      </c>
      <c r="U8" s="53">
        <f>IF(O8=0,0,Tabela4[[#This Row],[LUCRO]]/Tabela4[[#This Row],[TOTAL DE CUSTO]])</f>
        <v>2.6773719048786466</v>
      </c>
    </row>
    <row r="9" spans="1:25" x14ac:dyDescent="0.3">
      <c r="A9" s="48">
        <v>7</v>
      </c>
      <c r="B9" s="48">
        <v>0</v>
      </c>
      <c r="C9" s="48" t="s">
        <v>102</v>
      </c>
      <c r="D9" s="4" t="s">
        <v>101</v>
      </c>
      <c r="E9" s="48" t="s">
        <v>104</v>
      </c>
      <c r="F9" s="48" t="s">
        <v>105</v>
      </c>
      <c r="G9" s="48">
        <v>1</v>
      </c>
      <c r="H9" s="48" t="s">
        <v>41</v>
      </c>
      <c r="I9" s="50" t="s">
        <v>95</v>
      </c>
      <c r="J9" s="49">
        <v>12</v>
      </c>
      <c r="K9" s="49">
        <v>25</v>
      </c>
      <c r="L9" s="49">
        <v>7</v>
      </c>
      <c r="M9" s="49">
        <v>119</v>
      </c>
      <c r="N9" s="40">
        <v>0</v>
      </c>
      <c r="O9" s="51">
        <f>Tabela4[[#This Row],[MONTAGEM]]+Tabela4[[#This Row],[ARMAÇÃO]]+Tabela4[[#This Row],[CAIXINHA/SPRAY]]+Tabela4[[#This Row],[LENTE]]+Tabela4[[#This Row],[TAXA]]</f>
        <v>163</v>
      </c>
      <c r="P9" s="66">
        <v>750</v>
      </c>
      <c r="Q9" s="66">
        <v>0</v>
      </c>
      <c r="R9" s="51">
        <f>IF(Tabela4[[#This Row],[SINAL]]=0,0,Tabela4[[#This Row],[VALOR VENDA]]-Tabela4[[#This Row],[SINAL]])</f>
        <v>0</v>
      </c>
      <c r="S9" s="52">
        <f>Tabela4[[#This Row],[VALOR VENDA]]-Tabela4[[#This Row],[TAXA]]</f>
        <v>750</v>
      </c>
      <c r="T9" s="52">
        <f>Tabela4[[#This Row],[QT]]*Tabela4[[#This Row],[VALOR VENDA]]-Tabela4[[#This Row],[TOTAL DE CUSTO]]</f>
        <v>587</v>
      </c>
      <c r="U9" s="53">
        <f>IF(O9=0,0,Tabela4[[#This Row],[LUCRO]]/Tabela4[[#This Row],[TOTAL DE CUSTO]])</f>
        <v>3.6012269938650308</v>
      </c>
    </row>
    <row r="10" spans="1:25" x14ac:dyDescent="0.3">
      <c r="A10" s="48"/>
      <c r="B10" s="48"/>
      <c r="C10" s="48"/>
      <c r="D10" s="48"/>
      <c r="E10" s="48"/>
      <c r="F10" s="48"/>
      <c r="G10" s="48"/>
      <c r="H10" s="48"/>
      <c r="I10" s="50"/>
      <c r="J10" s="49"/>
      <c r="K10" s="49"/>
      <c r="L10" s="49"/>
      <c r="M10" s="49"/>
      <c r="N10" s="40"/>
      <c r="O10" s="51">
        <f>Tabela4[[#This Row],[MONTAGEM]]+Tabela4[[#This Row],[ARMAÇÃO]]+Tabela4[[#This Row],[CAIXINHA/SPRAY]]+Tabela4[[#This Row],[LENTE]]+Tabela4[[#This Row],[TAXA]]</f>
        <v>0</v>
      </c>
      <c r="P10" s="66"/>
      <c r="Q10" s="79"/>
      <c r="R10" s="51">
        <f>IF(Tabela4[[#This Row],[SINAL]]=0,0,Tabela4[[#This Row],[VALOR VENDA]]-Tabela4[[#This Row],[SINAL]])</f>
        <v>0</v>
      </c>
      <c r="S10" s="52">
        <f>Tabela4[[#This Row],[VALOR VENDA]]-Tabela4[[#This Row],[TAXA]]</f>
        <v>0</v>
      </c>
      <c r="T10" s="52">
        <f>Tabela4[[#This Row],[QT]]*Tabela4[[#This Row],[VALOR VENDA]]-Tabela4[[#This Row],[TOTAL DE CUSTO]]</f>
        <v>0</v>
      </c>
      <c r="U10" s="53">
        <f>IF(O10=0,0,Tabela4[[#This Row],[LUCRO]]/Tabela4[[#This Row],[TOTAL DE CUSTO]])</f>
        <v>0</v>
      </c>
    </row>
    <row r="11" spans="1:25" x14ac:dyDescent="0.3">
      <c r="O11" s="71"/>
      <c r="P11" s="42"/>
      <c r="Q11" s="42"/>
      <c r="R11" s="71"/>
    </row>
    <row r="12" spans="1:25" x14ac:dyDescent="0.3">
      <c r="O12" s="71"/>
      <c r="P12" s="42"/>
      <c r="Q12" s="42"/>
      <c r="R12" s="71"/>
    </row>
    <row r="13" spans="1:25" x14ac:dyDescent="0.3">
      <c r="O13" s="71"/>
      <c r="P13" s="42"/>
      <c r="Q13" s="42"/>
      <c r="R13" s="71"/>
    </row>
    <row r="14" spans="1:25" x14ac:dyDescent="0.3">
      <c r="N14" s="68"/>
      <c r="O14" s="71"/>
      <c r="P14" s="42"/>
      <c r="Q14" s="42"/>
      <c r="R14" s="71"/>
    </row>
    <row r="15" spans="1:25" x14ac:dyDescent="0.3">
      <c r="O15" s="71"/>
      <c r="P15" s="42"/>
      <c r="Q15" s="42"/>
      <c r="R15" s="71"/>
    </row>
    <row r="16" spans="1:25" x14ac:dyDescent="0.3">
      <c r="O16" s="71"/>
      <c r="P16" s="42"/>
      <c r="Q16" s="42"/>
      <c r="R16" s="71"/>
    </row>
    <row r="17" spans="15:18" x14ac:dyDescent="0.3">
      <c r="O17" s="71"/>
      <c r="P17" s="42"/>
      <c r="Q17" s="42"/>
      <c r="R17" s="71"/>
    </row>
    <row r="18" spans="15:18" x14ac:dyDescent="0.3">
      <c r="O18" s="71"/>
      <c r="P18" s="42"/>
      <c r="Q18" s="42"/>
      <c r="R18" s="71"/>
    </row>
    <row r="19" spans="15:18" x14ac:dyDescent="0.3">
      <c r="O19" s="71"/>
      <c r="P19" s="42"/>
      <c r="Q19" s="42"/>
      <c r="R19" s="7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5" t="s">
        <v>50</v>
      </c>
      <c r="G1" s="85"/>
      <c r="H1" s="85"/>
      <c r="I1" s="85"/>
      <c r="J1" s="85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D2" sqref="D2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47</v>
      </c>
      <c r="C1" s="15" t="s">
        <v>49</v>
      </c>
      <c r="D1" s="43" t="s">
        <v>37</v>
      </c>
      <c r="E1" s="43" t="s">
        <v>48</v>
      </c>
    </row>
    <row r="2" spans="1:5" x14ac:dyDescent="0.3">
      <c r="A2" s="39" t="s">
        <v>41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DE CUSTO]))</f>
        <v>725.73</v>
      </c>
    </row>
    <row r="3" spans="1:5" x14ac:dyDescent="0.3">
      <c r="A3" s="39" t="s">
        <v>40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DE CUSTO]))</f>
        <v>0</v>
      </c>
    </row>
    <row r="4" spans="1:5" x14ac:dyDescent="0.3">
      <c r="A4" s="39" t="s">
        <v>39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DE CUSTO]))</f>
        <v>0</v>
      </c>
    </row>
    <row r="5" spans="1:5" x14ac:dyDescent="0.3">
      <c r="A5" s="39" t="s">
        <v>42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DE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DE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DE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DE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DE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DE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DE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DE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DE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2023-01-26T13:08:17Z</dcterms:modified>
</cp:coreProperties>
</file>