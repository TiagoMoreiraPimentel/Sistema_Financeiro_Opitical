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740A3B21-F6AC-4265-9D3C-58411490B863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VENDAS'!$V$2</definedName>
    <definedName name="nomes_cadastro">'DADOS CADASTRO'!$B$3:$B$1048576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0" l="1"/>
  <c r="C12" i="10"/>
  <c r="C11" i="10"/>
  <c r="C10" i="10"/>
  <c r="C9" i="10"/>
  <c r="C8" i="10"/>
  <c r="C7" i="10"/>
  <c r="C6" i="10"/>
  <c r="C5" i="10"/>
  <c r="C4" i="10"/>
  <c r="C3" i="10"/>
  <c r="C2" i="10"/>
  <c r="K3" i="9"/>
  <c r="Q3" i="9"/>
  <c r="R3" i="9" s="1"/>
  <c r="S3" i="9" s="1"/>
  <c r="T3" i="9" s="1"/>
  <c r="E9" i="10" l="1"/>
  <c r="E8" i="10"/>
  <c r="D9" i="10"/>
  <c r="E5" i="10"/>
  <c r="E13" i="10"/>
  <c r="E2" i="10"/>
  <c r="E6" i="10"/>
  <c r="E10" i="10"/>
  <c r="D10" i="10"/>
  <c r="D7" i="10"/>
  <c r="D11" i="10"/>
  <c r="D5" i="10"/>
  <c r="D3" i="10"/>
  <c r="E11" i="10"/>
  <c r="D6" i="10"/>
  <c r="E3" i="10"/>
  <c r="E7" i="10"/>
  <c r="D4" i="10"/>
  <c r="D8" i="10"/>
  <c r="D12" i="10"/>
  <c r="D2" i="10"/>
  <c r="E4" i="10"/>
  <c r="E12" i="10"/>
  <c r="D13" i="10"/>
</calcChain>
</file>

<file path=xl/sharedStrings.xml><?xml version="1.0" encoding="utf-8"?>
<sst xmlns="http://schemas.openxmlformats.org/spreadsheetml/2006/main" count="65" uniqueCount="58">
  <si>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</si>
  <si>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</si>
  <si>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</si>
  <si>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</si>
  <si>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</si>
  <si>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</si>
  <si>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</si>
  <si>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</si>
  <si>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</si>
  <si>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</si>
  <si>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</si>
  <si>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</si>
  <si>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</si>
  <si>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</si>
  <si>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</si>
  <si>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</si>
  <si>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</si>
  <si>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</si>
  <si>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</si>
  <si>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</si>
  <si>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</si>
  <si>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</si>
  <si>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</si>
  <si>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</si>
  <si>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</si>
  <si>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</si>
  <si>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</si>
  <si>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</si>
  <si>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</si>
  <si>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</si>
  <si>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 xml:space="preserve">NOME </t>
  </si>
  <si>
    <t>TIPO LENTE</t>
  </si>
  <si>
    <t>DESCRIÇÃO</t>
  </si>
  <si>
    <t>QT</t>
  </si>
  <si>
    <t>VALOR</t>
  </si>
  <si>
    <t>F/P</t>
  </si>
  <si>
    <t>ARMAÇÃO</t>
  </si>
  <si>
    <t>CAIXINHA/SPRAY</t>
  </si>
  <si>
    <t>LENTE</t>
  </si>
  <si>
    <t>TAXAS</t>
  </si>
  <si>
    <t>SUBTOTAL</t>
  </si>
  <si>
    <t>LUCRO</t>
  </si>
  <si>
    <t>TOTAL DE CUSTO</t>
  </si>
  <si>
    <t>TAXA/CONVERTIDA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</si>
  <si>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</si>
  <si>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</si>
  <si>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</si>
  <si>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</si>
  <si>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</si>
  <si>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</si>
  <si>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</si>
  <si>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</si>
  <si>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MÊS</t>
  </si>
  <si>
    <t>MESES</t>
  </si>
  <si>
    <t>CUSTOS</t>
  </si>
  <si>
    <t>NOME MÊS</t>
  </si>
  <si>
    <t>GRAFICOS</t>
  </si>
  <si>
    <t>MONTAGEM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</si>
</sst>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;[Red]\-0.00\ 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6" borderId="13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9" fillId="10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6" fillId="8" borderId="9" xfId="0" applyNumberFormat="1" applyFont="1" applyFill="1" applyBorder="1" applyAlignment="1">
      <alignment horizontal="center" vertical="center"/>
    </xf>
    <xf numFmtId="10" fontId="0" fillId="0" borderId="13" xfId="0" applyNumberFormat="1" applyBorder="1" applyAlignment="1" applyProtection="1">
      <alignment horizontal="center" vertical="center"/>
      <protection locked="0"/>
    </xf>
    <xf numFmtId="2" fontId="4" fillId="3" borderId="9" xfId="0" applyNumberFormat="1" applyFont="1" applyFill="1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>
      <alignment horizontal="center" vertical="center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9" xfId="0" applyNumberFormat="1" applyFon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57"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VENDAS'!$R$3:$R$1006</c15:sqref>
                  </c15:fullRef>
                </c:ext>
              </c:extLst>
              <c:f>'DADOS VENDAS'!$R$3:$R$22</c:f>
              <c:numCache>
                <c:formatCode>0.00</c:formatCode>
                <c:ptCount val="20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VENDAS'!$J$3:$J$18</c15:sqref>
                  </c15:fullRef>
                </c:ext>
              </c:extLst>
              <c:f>'DADOS VENDAS'!$J$3:$J$18</c:f>
              <c:numCache>
                <c:formatCode>m/d/yyyy</c:formatCode>
                <c:ptCount val="16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VENDAS'!$S$3:$S$1006</c15:sqref>
                  </c15:fullRef>
                </c:ext>
              </c:extLst>
              <c:f>'DADOS VENDAS'!$S$3:$S$22</c:f>
              <c:numCache>
                <c:formatCode>0.00</c:formatCode>
                <c:ptCount val="20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0" Type="http://schemas.openxmlformats.org/officeDocument/2006/relationships/hyperlink" Target="#Graficos!A1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2</xdr:row>
      <xdr:rowOff>76200</xdr:rowOff>
    </xdr:from>
    <xdr:to>
      <xdr:col>8</xdr:col>
      <xdr:colOff>60960</xdr:colOff>
      <xdr:row>7</xdr:row>
      <xdr:rowOff>99060</xdr:rowOff>
    </xdr:to>
    <xdr:sp macro="[0]!RetânguloCantosArredondados1_Clique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3421380" y="115062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5</xdr:col>
      <xdr:colOff>358140</xdr:colOff>
      <xdr:row>9</xdr:row>
      <xdr:rowOff>68580</xdr:rowOff>
    </xdr:from>
    <xdr:to>
      <xdr:col>8</xdr:col>
      <xdr:colOff>45720</xdr:colOff>
      <xdr:row>14</xdr:row>
      <xdr:rowOff>91440</xdr:rowOff>
    </xdr:to>
    <xdr:sp macro="[0]!RetânguloCantosArredondados1_Clique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3406140" y="24231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106680</xdr:colOff>
      <xdr:row>2</xdr:row>
      <xdr:rowOff>22859</xdr:rowOff>
    </xdr:from>
    <xdr:to>
      <xdr:col>3</xdr:col>
      <xdr:colOff>586288</xdr:colOff>
      <xdr:row>7</xdr:row>
      <xdr:rowOff>141546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AFBE636-DDA5-E6BF-F0C9-6B769B6BB13D}"/>
            </a:ext>
          </a:extLst>
        </xdr:cNvPr>
        <xdr:cNvGrpSpPr/>
      </xdr:nvGrpSpPr>
      <xdr:grpSpPr>
        <a:xfrm>
          <a:off x="1325880" y="1097279"/>
          <a:ext cx="1089208" cy="1033087"/>
          <a:chOff x="0" y="609599"/>
          <a:chExt cx="1089208" cy="1033087"/>
        </a:xfrm>
      </xdr:grpSpPr>
      <xdr:pic macro="[0]!cadastrar_clientes">
        <xdr:nvPicPr>
          <xdr:cNvPr id="8" name="Imagem 7">
            <a:extLst>
              <a:ext uri="{FF2B5EF4-FFF2-40B4-BE49-F238E27FC236}">
                <a16:creationId xmlns:a16="http://schemas.microsoft.com/office/drawing/2014/main" id="{CE65D957-D6D9-7C8B-B0C6-CD2349C39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362" y="609599"/>
            <a:ext cx="676441" cy="720000"/>
          </a:xfrm>
          <a:prstGeom prst="rect">
            <a:avLst/>
          </a:prstGeom>
        </xdr:spPr>
      </xdr:pic>
      <xdr:sp macro="[0]!cadastrar_clientes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83A76511-DC6B-B5B7-1129-0B2BF95BF9E3}"/>
              </a:ext>
            </a:extLst>
          </xdr:cNvPr>
          <xdr:cNvSpPr/>
        </xdr:nvSpPr>
        <xdr:spPr>
          <a:xfrm>
            <a:off x="0" y="1268545"/>
            <a:ext cx="1089208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Cadastrar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</xdr:col>
      <xdr:colOff>186645</xdr:colOff>
      <xdr:row>9</xdr:row>
      <xdr:rowOff>38235</xdr:rowOff>
    </xdr:from>
    <xdr:to>
      <xdr:col>3</xdr:col>
      <xdr:colOff>445361</xdr:colOff>
      <xdr:row>14</xdr:row>
      <xdr:rowOff>95826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E686D44-64D9-C0B4-1A38-6BB8D22C08EC}"/>
            </a:ext>
          </a:extLst>
        </xdr:cNvPr>
        <xdr:cNvGrpSpPr/>
      </xdr:nvGrpSpPr>
      <xdr:grpSpPr>
        <a:xfrm>
          <a:off x="1405845" y="2392815"/>
          <a:ext cx="868316" cy="971991"/>
          <a:chOff x="110445" y="1707015"/>
          <a:chExt cx="868316" cy="971991"/>
        </a:xfrm>
      </xdr:grpSpPr>
      <xdr:pic macro="[0]!realizar_venda">
        <xdr:nvPicPr>
          <xdr:cNvPr id="10" name="Imagem 9">
            <a:extLst>
              <a:ext uri="{FF2B5EF4-FFF2-40B4-BE49-F238E27FC236}">
                <a16:creationId xmlns:a16="http://schemas.microsoft.com/office/drawing/2014/main" id="{AF74DB60-62C0-FBB8-BA55-70C572555C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861" y="1707015"/>
            <a:ext cx="705172" cy="720000"/>
          </a:xfrm>
          <a:prstGeom prst="rect">
            <a:avLst/>
          </a:prstGeom>
        </xdr:spPr>
      </xdr:pic>
      <xdr:sp macro="[0]!realizar_venda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1E456A2E-B44B-44E5-9004-DE3200E211C9}"/>
              </a:ext>
            </a:extLst>
          </xdr:cNvPr>
          <xdr:cNvSpPr/>
        </xdr:nvSpPr>
        <xdr:spPr>
          <a:xfrm>
            <a:off x="110445" y="2304865"/>
            <a:ext cx="868316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Vender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411480</xdr:colOff>
      <xdr:row>0</xdr:row>
      <xdr:rowOff>236220</xdr:rowOff>
    </xdr:from>
    <xdr:to>
      <xdr:col>19</xdr:col>
      <xdr:colOff>161880</xdr:colOff>
      <xdr:row>0</xdr:row>
      <xdr:rowOff>596220</xdr:rowOff>
    </xdr:to>
    <xdr:pic macro="[0]!Salvar">
      <xdr:nvPicPr>
        <xdr:cNvPr id="28" name="Imagem 27">
          <a:extLst>
            <a:ext uri="{FF2B5EF4-FFF2-40B4-BE49-F238E27FC236}">
              <a16:creationId xmlns:a16="http://schemas.microsoft.com/office/drawing/2014/main" id="{CC972746-2929-F86B-5C3C-FFA4365AF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4280" y="236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TelaSenha_graficos.TelaSenha_graficos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TelaSenha_graficos.TelaSenha_graficos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1005840</xdr:colOff>
      <xdr:row>0</xdr:row>
      <xdr:rowOff>160020</xdr:rowOff>
    </xdr:from>
    <xdr:to>
      <xdr:col>1</xdr:col>
      <xdr:colOff>1365840</xdr:colOff>
      <xdr:row>0</xdr:row>
      <xdr:rowOff>520020</xdr:rowOff>
    </xdr:to>
    <xdr:pic macro="[0]!Salvar">
      <xdr:nvPicPr>
        <xdr:cNvPr id="5" name="Imagem 4">
          <a:extLst>
            <a:ext uri="{FF2B5EF4-FFF2-40B4-BE49-F238E27FC236}">
              <a16:creationId xmlns:a16="http://schemas.microsoft.com/office/drawing/2014/main" id="{0B8DEF78-85A2-4B39-A74F-0285A919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162419</xdr:colOff>
      <xdr:row>0</xdr:row>
      <xdr:rowOff>201193</xdr:rowOff>
    </xdr:from>
    <xdr:to>
      <xdr:col>3</xdr:col>
      <xdr:colOff>522419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609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2</xdr:col>
      <xdr:colOff>946740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998220</xdr:colOff>
      <xdr:row>0</xdr:row>
      <xdr:rowOff>175260</xdr:rowOff>
    </xdr:from>
    <xdr:to>
      <xdr:col>2</xdr:col>
      <xdr:colOff>276180</xdr:colOff>
      <xdr:row>0</xdr:row>
      <xdr:rowOff>535260</xdr:rowOff>
    </xdr:to>
    <xdr:pic macro="[0]!Salvar">
      <xdr:nvPicPr>
        <xdr:cNvPr id="12" name="Imagem 11">
          <a:extLst>
            <a:ext uri="{FF2B5EF4-FFF2-40B4-BE49-F238E27FC236}">
              <a16:creationId xmlns:a16="http://schemas.microsoft.com/office/drawing/2014/main" id="{9CB225DC-65F8-417E-A389-BB4CD9A0C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2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0</xdr:col>
      <xdr:colOff>588600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</xdr:col>
      <xdr:colOff>739140</xdr:colOff>
      <xdr:row>0</xdr:row>
      <xdr:rowOff>137160</xdr:rowOff>
    </xdr:from>
    <xdr:to>
      <xdr:col>9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525780</xdr:colOff>
      <xdr:row>0</xdr:row>
      <xdr:rowOff>144780</xdr:rowOff>
    </xdr:from>
    <xdr:to>
      <xdr:col>2</xdr:col>
      <xdr:colOff>276180</xdr:colOff>
      <xdr:row>0</xdr:row>
      <xdr:rowOff>504780</xdr:rowOff>
    </xdr:to>
    <xdr:pic macro="[0]!Salvar">
      <xdr:nvPicPr>
        <xdr:cNvPr id="11" name="Imagem 10">
          <a:extLst>
            <a:ext uri="{FF2B5EF4-FFF2-40B4-BE49-F238E27FC236}">
              <a16:creationId xmlns:a16="http://schemas.microsoft.com/office/drawing/2014/main" id="{6353E597-7171-4D39-8BF5-86DB0E687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380" y="14478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3" totalsRowShown="0" headerRowDxfId="56" dataDxfId="55" tableBorderDxfId="54">
  <autoFilter ref="A2:AC3" xr:uid="{FB179E74-48E2-4AB2-B030-DEF57A608A5B}"/>
  <tableColumns count="29">
    <tableColumn id="1" xr3:uid="{F1278FE0-D38A-4E18-8A13-0E2D8B64E41A}" name="ID" dataDxfId="53"/>
    <tableColumn id="2" xr3:uid="{44739461-CBC6-4DCA-8080-29A96E07DCB7}" name="NOME COMPLETO" dataDxfId="52"/>
    <tableColumn id="3" xr3:uid="{4A1AC2FC-6986-4D23-95D6-50547B4E9559}" name="O/S" dataDxfId="51"/>
    <tableColumn id="4" xr3:uid="{AF002364-F5B2-4649-A6BC-13107C53F2BD}" name="TELEFONE FIXO" dataDxfId="50"/>
    <tableColumn id="5" xr3:uid="{5136E472-DC36-4EE6-8C51-C86F253871AA}" name="CELULAR" dataDxfId="49"/>
    <tableColumn id="6" xr3:uid="{56DFE2F9-D9D2-4A03-93B9-D2108C2328B4}" name="CPF" dataDxfId="48"/>
    <tableColumn id="7" xr3:uid="{1866E312-5AE0-4B0B-B19D-0CB7E6B933DE}" name="ENDEREÇO" dataDxfId="47"/>
    <tableColumn id="8" xr3:uid="{0F4D5A2C-9E4E-4174-9B22-91C6A0DDF61A}" name="OBSERVAÇÃO" dataDxfId="46"/>
    <tableColumn id="9" xr3:uid="{EACE3EBD-CF4B-4FF8-BE2E-4338E3F79AE6}" name="DATA" dataDxfId="45"/>
    <tableColumn id="10" xr3:uid="{81E1C5CC-E8B6-4439-B086-AF3A3E81AD63}" name="OD-ESF" dataDxfId="44"/>
    <tableColumn id="11" xr3:uid="{96976A99-8ADB-4542-BE08-CD7FCDFCDB1B}" name="OD-SIL" dataDxfId="43"/>
    <tableColumn id="12" xr3:uid="{20B3F4FE-8DC5-410A-865D-50918D12836C}" name="OD-EIXO" dataDxfId="42"/>
    <tableColumn id="13" xr3:uid="{5BF0B2DB-486A-4A1D-A58C-5770377B093C}" name="OD-DNP" dataDxfId="41"/>
    <tableColumn id="14" xr3:uid="{84776810-8B50-4301-9303-B014C66A3653}" name="OD-ADIÇÃO" dataDxfId="40"/>
    <tableColumn id="15" xr3:uid="{60BA2D29-180A-4557-A87F-9A9819713BC1}" name="OD-ALTURA" dataDxfId="39"/>
    <tableColumn id="16" xr3:uid="{00084C2D-508F-40C8-8C10-8EB98C0FEEC9}" name="ED-ESF" dataDxfId="38"/>
    <tableColumn id="17" xr3:uid="{2C272586-CA72-46CB-BA36-7E1092EF12B3}" name="ED-SIL" dataDxfId="37"/>
    <tableColumn id="18" xr3:uid="{0BE5D9DD-04F9-4BBB-99CC-269B4DB9019D}" name="ED-EIXO" dataDxfId="36"/>
    <tableColumn id="19" xr3:uid="{3FFBEA31-F658-4FD3-A480-CC3DD145A9EF}" name="ED-DNP" dataDxfId="35"/>
    <tableColumn id="20" xr3:uid="{E908D2F4-4BA2-432C-9F0E-E75039BF2894}" name="ED-ADIÇÃO" dataDxfId="34"/>
    <tableColumn id="21" xr3:uid="{ECF38DDD-7946-44CC-B0D2-85000C112291}" name="ED-ALTURA" dataDxfId="33"/>
    <tableColumn id="22" xr3:uid="{051C54D0-F2D9-438E-9FF9-3BF0FCE52E9D}" name="OD-ESF2" dataDxfId="32"/>
    <tableColumn id="23" xr3:uid="{8C15F573-94E5-4874-B11D-ABF2583BEDDF}" name="OD-SIL3" dataDxfId="31"/>
    <tableColumn id="24" xr3:uid="{79AF13A8-4622-4020-90E4-35CB5546C7EC}" name="OD-EIXO4" dataDxfId="30"/>
    <tableColumn id="25" xr3:uid="{638A6A1C-2BAF-4FBF-BD5E-9D788A5BEF44}" name="OD-ALTURA5" dataDxfId="29"/>
    <tableColumn id="26" xr3:uid="{E58475FA-D630-49D8-BF83-B6C6357AFD5D}" name="OE-ESF" dataDxfId="28"/>
    <tableColumn id="27" xr3:uid="{B2E859C6-395D-4AAA-A643-AB5B493B27EC}" name="OE-SIL" dataDxfId="27"/>
    <tableColumn id="28" xr3:uid="{6256CDB5-0F01-4D3B-AAC5-B25BD56E37EC}" name="OE-EIXO" dataDxfId="26"/>
    <tableColumn id="29" xr3:uid="{20F71700-8874-4746-980B-D75DACBD3DA9}" name="OE-ALTURA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T3" totalsRowShown="0" headerRowDxfId="24" dataDxfId="22" headerRowBorderDxfId="23" tableBorderDxfId="21" totalsRowBorderDxfId="20">
  <autoFilter ref="A2:T3" xr:uid="{0905D7B3-B7FE-437A-BEE3-F030AF3D0228}"/>
  <tableColumns count="20">
    <tableColumn id="1" xr3:uid="{B3D09159-866F-4C86-8CFB-777F6B944203}" name="ID" dataDxfId="19"/>
    <tableColumn id="2" xr3:uid="{B5AD712A-2A4B-487E-9C0F-4C96F40F3D92}" name="NF" dataDxfId="18"/>
    <tableColumn id="3" xr3:uid="{A5332774-5E6B-4582-9EBD-F0168FC79273}" name="O/S" dataDxfId="17"/>
    <tableColumn id="4" xr3:uid="{E9F96972-F64C-4737-B4DB-1C78867F11CC}" name="NOME " dataDxfId="16"/>
    <tableColumn id="5" xr3:uid="{025D78F5-81A0-411D-B548-E74CA9B7C859}" name="TIPO LENTE" dataDxfId="15"/>
    <tableColumn id="6" xr3:uid="{2EE7659C-AD70-4885-89A7-6378DE5067EA}" name="DESCRIÇÃO" dataDxfId="14"/>
    <tableColumn id="7" xr3:uid="{8BB3D8D9-0D81-47B0-9CB0-4B792590BCAC}" name="QT" dataDxfId="13"/>
    <tableColumn id="8" xr3:uid="{DDC0BC57-DC72-40DB-8C84-BC27574E778F}" name="VALOR" dataDxfId="12"/>
    <tableColumn id="9" xr3:uid="{602DACDE-80C3-4966-B7B9-45032123D33F}" name="F/P" dataDxfId="11"/>
    <tableColumn id="20" xr3:uid="{7CF1AD86-C324-4EAE-8A18-21172BA9626B}" name="DATA" dataDxfId="10"/>
    <tableColumn id="21" xr3:uid="{5779E11C-7959-417B-A958-41D7F116F645}" name="MÊS" dataDxfId="9">
      <calculatedColumnFormula>MONTH(Tabela4[[#This Row],[DATA]])</calculatedColumnFormula>
    </tableColumn>
    <tableColumn id="10" xr3:uid="{C1AEC5B2-A64A-48C9-8062-E193CFFD20C3}" name="MONTAGEM" dataDxfId="8"/>
    <tableColumn id="11" xr3:uid="{943CB7CB-FD41-4204-8C39-7E221E24F742}" name="ARMAÇÃO" dataDxfId="7"/>
    <tableColumn id="12" xr3:uid="{17DC4164-7EB7-475B-82B3-B1F2AC58D92D}" name="CAIXINHA/SPRAY" dataDxfId="6"/>
    <tableColumn id="13" xr3:uid="{F65F097F-55B0-4E55-ACCB-6BC34E982B3E}" name="LENTE" dataDxfId="5"/>
    <tableColumn id="14" xr3:uid="{824BBF0E-DBC2-4D9B-B795-C120C23640DB}" name="TAXAS" dataDxfId="4"/>
    <tableColumn id="19" xr3:uid="{3AB03C89-404E-41DE-9E1B-117884C7B846}" name="TAXA/CONVERTIDA" dataDxfId="3">
      <calculatedColumnFormula>Tabela4[[#This Row],[VALOR]]*Tabela4[[#This Row],[TAXAS]]</calculatedColumnFormula>
    </tableColumn>
    <tableColumn id="18" xr3:uid="{ECE9330F-23CC-4281-9283-553A77EFC171}" name="TOTAL DE CUSTO" dataDxfId="2">
      <calculatedColumnFormula>Tabela4[[#This Row],[MONTAGEM]]+Tabela4[[#This Row],[ARMAÇÃO]]+Tabela4[[#This Row],[CAIXINHA/SPRAY]]+Tabela4[[#This Row],[LENTE]]+Tabela4[[#This Row],[TAXA/CONVERTIDA]]</calculatedColumnFormula>
    </tableColumn>
    <tableColumn id="15" xr3:uid="{2D334E11-AFDE-4BD2-ADEA-3DAF30F48583}" name="SUBTOTAL" dataDxfId="1">
      <calculatedColumnFormula>Tabela4[[#This Row],[QT]]*Tabela4[[#This Row],[VALOR]]-Tabela4[[#This Row],[TOTAL DE CUSTO]]</calculatedColumnFormula>
    </tableColumn>
    <tableColumn id="17" xr3:uid="{F1F51FB2-7426-41B0-9C94-BBA4EAAAE3A1}" name="LUCRO" dataDxfId="0">
      <calculatedColumnFormula>Tabela4[[#This Row],[SUBTOTAL]]/Tabela4[[#This Row],[TOTAL DE CUSTO]]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RowHeight="14.4" x14ac:dyDescent="0.3"/>
  <cols>
    <col min="1" max="16384" width="8.88671875" style="37"/>
  </cols>
  <sheetData>
    <row r="1" spans="1:22" ht="70.2" customHeight="1" x14ac:dyDescent="0.3">
      <c r="A1" s="64" t="s">
        <v>51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</row>
    <row r="2" spans="1:22" x14ac:dyDescent="0.3">
      <c r="A2" s="38"/>
      <c r="V2" s="39"/>
    </row>
    <row r="3" spans="1:22" x14ac:dyDescent="0.3">
      <c r="A3" s="38"/>
      <c r="V3" s="39"/>
    </row>
    <row r="4" spans="1:22" x14ac:dyDescent="0.3">
      <c r="A4" s="38"/>
      <c r="V4" s="39"/>
    </row>
    <row r="5" spans="1:22" x14ac:dyDescent="0.3">
      <c r="A5" s="38"/>
      <c r="V5" s="39"/>
    </row>
    <row r="6" spans="1:22" x14ac:dyDescent="0.3">
      <c r="A6" s="38"/>
      <c r="V6" s="39"/>
    </row>
    <row r="7" spans="1:22" x14ac:dyDescent="0.3">
      <c r="A7" s="38"/>
      <c r="V7" s="39"/>
    </row>
    <row r="8" spans="1:22" x14ac:dyDescent="0.3">
      <c r="A8" s="38"/>
      <c r="V8" s="39"/>
    </row>
    <row r="9" spans="1:22" x14ac:dyDescent="0.3">
      <c r="A9" s="38"/>
      <c r="V9" s="39"/>
    </row>
    <row r="10" spans="1:22" x14ac:dyDescent="0.3">
      <c r="A10" s="38"/>
      <c r="V10" s="39"/>
    </row>
    <row r="11" spans="1:22" x14ac:dyDescent="0.3">
      <c r="A11" s="38"/>
      <c r="V11" s="39"/>
    </row>
    <row r="12" spans="1:22" x14ac:dyDescent="0.3">
      <c r="A12" s="38"/>
      <c r="V12" s="39"/>
    </row>
    <row r="13" spans="1:22" x14ac:dyDescent="0.3">
      <c r="A13" s="38"/>
      <c r="V13" s="39"/>
    </row>
    <row r="14" spans="1:22" x14ac:dyDescent="0.3">
      <c r="A14" s="38"/>
      <c r="I14" s="13"/>
      <c r="V14" s="39"/>
    </row>
    <row r="15" spans="1:22" x14ac:dyDescent="0.3">
      <c r="A15" s="38"/>
      <c r="V15" s="39"/>
    </row>
    <row r="16" spans="1:22" x14ac:dyDescent="0.3">
      <c r="A16" s="38"/>
      <c r="V16" s="39"/>
    </row>
    <row r="17" spans="1:22" x14ac:dyDescent="0.3">
      <c r="A17" s="38"/>
      <c r="V17" s="39"/>
    </row>
    <row r="18" spans="1:22" x14ac:dyDescent="0.3">
      <c r="A18" s="38"/>
      <c r="V18" s="39"/>
    </row>
    <row r="19" spans="1:22" x14ac:dyDescent="0.3">
      <c r="A19" s="38"/>
      <c r="V19" s="39"/>
    </row>
    <row r="20" spans="1:22" x14ac:dyDescent="0.3">
      <c r="A20" s="38"/>
      <c r="V20" s="39"/>
    </row>
    <row r="21" spans="1:22" x14ac:dyDescent="0.3">
      <c r="A21" s="38"/>
      <c r="V21" s="39"/>
    </row>
    <row r="22" spans="1:22" x14ac:dyDescent="0.3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2"/>
    </row>
    <row r="23" spans="1:22" ht="40.049999999999997" customHeight="1" x14ac:dyDescent="0.3">
      <c r="A23" s="65" t="s">
        <v>48</v>
      </c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</row>
  </sheetData>
  <sheetProtection algorithmName="SHA-512" hashValue="iLlNQ0AKdJNO7Tv7KLSUWFQM9rHozfQNdOkU5M1YvsIyZ6RSAiFaaq8xQyVtkm40ZluVsnxqLT6iKi9O4SUXlA==" saltValue="kT+eEZGSV2SWtyIsdOU2yw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3"/>
  <sheetViews>
    <sheetView showGridLines="0" showRowColHeaders="0" workbookViewId="0">
      <pane ySplit="2" topLeftCell="A3" activePane="bottomLeft" state="frozen"/>
      <selection pane="bottomLeft" activeCell="F13" sqref="F13"/>
    </sheetView>
  </sheetViews>
  <sheetFormatPr defaultRowHeight="14.4" x14ac:dyDescent="0.3"/>
  <cols>
    <col min="1" max="1" width="8.88671875" style="1"/>
    <col min="2" max="2" width="40.77734375" style="1" customWidth="1"/>
    <col min="3" max="3" width="17.44140625" style="1" customWidth="1"/>
    <col min="4" max="5" width="25.77734375" style="1" customWidth="1"/>
    <col min="6" max="6" width="26.33203125" style="1" customWidth="1"/>
    <col min="7" max="7" width="50.109375" style="1" customWidth="1"/>
    <col min="8" max="8" width="40.77734375" style="1" customWidth="1"/>
    <col min="9" max="9" width="22.109375" style="7" customWidth="1"/>
    <col min="10" max="24" width="15.77734375" style="8" customWidth="1"/>
    <col min="25" max="25" width="17" style="8" customWidth="1"/>
    <col min="26" max="29" width="15.77734375" style="8" customWidth="1"/>
    <col min="30" max="30" width="2.88671875" style="1" customWidth="1"/>
    <col min="31" max="16384" width="8.88671875" style="1"/>
  </cols>
  <sheetData>
    <row r="1" spans="1:31" s="13" customFormat="1" ht="49.95" customHeight="1" x14ac:dyDescent="0.3">
      <c r="A1" s="14"/>
      <c r="B1" s="14"/>
      <c r="C1" s="14"/>
      <c r="D1" s="14"/>
      <c r="E1" s="66" t="s">
        <v>49</v>
      </c>
      <c r="F1" s="67"/>
      <c r="G1" s="67"/>
      <c r="H1" s="14"/>
      <c r="I1" s="1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E1" s="17" t="s">
        <v>28</v>
      </c>
    </row>
    <row r="2" spans="1:31" s="30" customFormat="1" ht="18" x14ac:dyDescent="0.3">
      <c r="A2" s="25" t="s">
        <v>28</v>
      </c>
      <c r="B2" s="26" t="s">
        <v>1</v>
      </c>
      <c r="C2" s="26" t="s">
        <v>6</v>
      </c>
      <c r="D2" s="26" t="s">
        <v>7</v>
      </c>
      <c r="E2" s="26" t="s">
        <v>2</v>
      </c>
      <c r="F2" s="26" t="s">
        <v>3</v>
      </c>
      <c r="G2" s="26" t="s">
        <v>4</v>
      </c>
      <c r="H2" s="26" t="s">
        <v>5</v>
      </c>
      <c r="I2" s="27" t="s">
        <v>0</v>
      </c>
      <c r="J2" s="28" t="s">
        <v>8</v>
      </c>
      <c r="K2" s="28" t="s">
        <v>9</v>
      </c>
      <c r="L2" s="28" t="s">
        <v>10</v>
      </c>
      <c r="M2" s="28" t="s">
        <v>11</v>
      </c>
      <c r="N2" s="28" t="s">
        <v>12</v>
      </c>
      <c r="O2" s="28" t="s">
        <v>13</v>
      </c>
      <c r="P2" s="28" t="s">
        <v>14</v>
      </c>
      <c r="Q2" s="28" t="s">
        <v>15</v>
      </c>
      <c r="R2" s="28" t="s">
        <v>16</v>
      </c>
      <c r="S2" s="28" t="s">
        <v>17</v>
      </c>
      <c r="T2" s="28" t="s">
        <v>18</v>
      </c>
      <c r="U2" s="28" t="s">
        <v>19</v>
      </c>
      <c r="V2" s="28" t="s">
        <v>24</v>
      </c>
      <c r="W2" s="28" t="s">
        <v>25</v>
      </c>
      <c r="X2" s="28" t="s">
        <v>26</v>
      </c>
      <c r="Y2" s="28" t="s">
        <v>27</v>
      </c>
      <c r="Z2" s="28" t="s">
        <v>20</v>
      </c>
      <c r="AA2" s="28" t="s">
        <v>21</v>
      </c>
      <c r="AB2" s="28" t="s">
        <v>22</v>
      </c>
      <c r="AC2" s="28" t="s">
        <v>23</v>
      </c>
      <c r="AD2" s="29"/>
      <c r="AE2" s="10">
        <v>1</v>
      </c>
    </row>
    <row r="3" spans="1:31" x14ac:dyDescent="0.3">
      <c r="A3" s="4"/>
      <c r="B3" s="5"/>
      <c r="C3" s="5"/>
      <c r="D3" s="5"/>
      <c r="E3" s="5"/>
      <c r="F3" s="5"/>
      <c r="G3" s="5"/>
      <c r="H3" s="5"/>
      <c r="I3" s="6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63"/>
    </row>
  </sheetData>
  <sheetProtection algorithmName="SHA-512" hashValue="vIi3cTGZOx1rc/VWC0wKuOY2qYPcwsstOTMM6ASN2UVwq+hZw2zNKOq2ohEcxuMHw8I3JK2MiafpX/VnVobshA==" saltValue="H+D9IDBaX4PO0+QF4T6cww==" spinCount="100000" sheet="1" objects="1" scenarios="1"/>
  <mergeCells count="1">
    <mergeCell ref="E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X12"/>
  <sheetViews>
    <sheetView showGridLines="0" showRowColHeaders="0" zoomScaleNormal="100" workbookViewId="0">
      <pane ySplit="2" topLeftCell="A3" activePane="bottomLeft" state="frozen"/>
      <selection pane="bottomLeft" activeCell="V2" sqref="V2"/>
    </sheetView>
  </sheetViews>
  <sheetFormatPr defaultRowHeight="14.4" x14ac:dyDescent="0.3"/>
  <cols>
    <col min="1" max="1" width="8.88671875" style="1"/>
    <col min="2" max="3" width="15.77734375" style="1" customWidth="1"/>
    <col min="4" max="4" width="36.6640625" style="1" customWidth="1"/>
    <col min="5" max="5" width="27.77734375" style="1" bestFit="1" customWidth="1"/>
    <col min="6" max="6" width="47.88671875" style="1" customWidth="1"/>
    <col min="7" max="7" width="10.21875" style="1" customWidth="1"/>
    <col min="8" max="8" width="13.5546875" style="2" customWidth="1"/>
    <col min="9" max="9" width="12.88671875" style="1" customWidth="1"/>
    <col min="10" max="10" width="19.6640625" style="7" customWidth="1"/>
    <col min="11" max="11" width="19.6640625" style="1" customWidth="1"/>
    <col min="12" max="13" width="15.77734375" style="2" customWidth="1"/>
    <col min="14" max="14" width="17.5546875" style="2" customWidth="1"/>
    <col min="15" max="15" width="15.77734375" style="2" customWidth="1"/>
    <col min="16" max="16" width="15.77734375" style="3" customWidth="1"/>
    <col min="17" max="17" width="19.44140625" style="2" customWidth="1"/>
    <col min="18" max="19" width="15.77734375" style="2" customWidth="1"/>
    <col min="20" max="20" width="15.77734375" style="3" customWidth="1"/>
    <col min="21" max="21" width="3.88671875" style="1" customWidth="1"/>
    <col min="22" max="22" width="8.88671875" style="1"/>
    <col min="23" max="23" width="4" style="1" customWidth="1"/>
    <col min="24" max="16384" width="8.88671875" style="1"/>
  </cols>
  <sheetData>
    <row r="1" spans="1:24" s="13" customFormat="1" ht="49.95" customHeight="1" x14ac:dyDescent="0.3">
      <c r="A1" s="14"/>
      <c r="B1" s="14"/>
      <c r="C1" s="14"/>
      <c r="D1" s="14"/>
      <c r="E1" s="14"/>
      <c r="F1" s="66" t="s">
        <v>50</v>
      </c>
      <c r="G1" s="66"/>
      <c r="H1" s="66"/>
      <c r="I1" s="66"/>
      <c r="J1" s="66"/>
      <c r="K1" s="15"/>
      <c r="L1" s="52"/>
      <c r="M1" s="52"/>
      <c r="N1" s="52"/>
      <c r="O1" s="52"/>
      <c r="P1" s="45"/>
      <c r="Q1" s="52"/>
      <c r="R1" s="52"/>
      <c r="S1" s="52"/>
      <c r="T1" s="45"/>
      <c r="U1" s="16"/>
      <c r="V1" s="17" t="s">
        <v>28</v>
      </c>
      <c r="W1" s="16"/>
      <c r="X1" s="16"/>
    </row>
    <row r="2" spans="1:24" s="13" customFormat="1" ht="18" x14ac:dyDescent="0.3">
      <c r="A2" s="18" t="s">
        <v>28</v>
      </c>
      <c r="B2" s="19" t="s">
        <v>29</v>
      </c>
      <c r="C2" s="19" t="s">
        <v>6</v>
      </c>
      <c r="D2" s="19" t="s">
        <v>30</v>
      </c>
      <c r="E2" s="19" t="s">
        <v>31</v>
      </c>
      <c r="F2" s="19" t="s">
        <v>32</v>
      </c>
      <c r="G2" s="19" t="s">
        <v>33</v>
      </c>
      <c r="H2" s="48" t="s">
        <v>34</v>
      </c>
      <c r="I2" s="19" t="s">
        <v>35</v>
      </c>
      <c r="J2" s="50" t="s">
        <v>0</v>
      </c>
      <c r="K2" s="19" t="s">
        <v>52</v>
      </c>
      <c r="L2" s="53" t="s">
        <v>57</v>
      </c>
      <c r="M2" s="53" t="s">
        <v>36</v>
      </c>
      <c r="N2" s="53" t="s">
        <v>37</v>
      </c>
      <c r="O2" s="53" t="s">
        <v>38</v>
      </c>
      <c r="P2" s="46" t="s">
        <v>39</v>
      </c>
      <c r="Q2" s="53" t="s">
        <v>43</v>
      </c>
      <c r="R2" s="53" t="s">
        <v>42</v>
      </c>
      <c r="S2" s="57" t="s">
        <v>40</v>
      </c>
      <c r="T2" s="58" t="s">
        <v>41</v>
      </c>
      <c r="V2" s="10">
        <v>1</v>
      </c>
    </row>
    <row r="3" spans="1:24" s="13" customFormat="1" x14ac:dyDescent="0.3">
      <c r="A3" s="11"/>
      <c r="B3" s="11"/>
      <c r="C3" s="11"/>
      <c r="D3" s="11"/>
      <c r="E3" s="11"/>
      <c r="F3" s="11"/>
      <c r="G3" s="11"/>
      <c r="H3" s="49"/>
      <c r="I3" s="11"/>
      <c r="J3" s="51"/>
      <c r="K3" s="12">
        <f>MONTH(Tabela4[[#This Row],[DATA]])</f>
        <v>1</v>
      </c>
      <c r="L3" s="49"/>
      <c r="M3" s="49"/>
      <c r="N3" s="49"/>
      <c r="O3" s="49"/>
      <c r="P3" s="47"/>
      <c r="Q3" s="54">
        <f>Tabela4[[#This Row],[VALOR]]*Tabela4[[#This Row],[TAXAS]]</f>
        <v>0</v>
      </c>
      <c r="R3" s="55">
        <f>Tabela4[[#This Row],[MONTAGEM]]+Tabela4[[#This Row],[ARMAÇÃO]]+Tabela4[[#This Row],[CAIXINHA/SPRAY]]+Tabela4[[#This Row],[LENTE]]+Tabela4[[#This Row],[TAXA/CONVERTIDA]]</f>
        <v>0</v>
      </c>
      <c r="S3" s="54">
        <f>Tabela4[[#This Row],[QT]]*Tabela4[[#This Row],[VALOR]]-Tabela4[[#This Row],[TOTAL DE CUSTO]]</f>
        <v>0</v>
      </c>
      <c r="T3" s="59" t="e">
        <f>Tabela4[[#This Row],[SUBTOTAL]]/Tabela4[[#This Row],[TOTAL DE CUSTO]]</f>
        <v>#DIV/0!</v>
      </c>
      <c r="W3" s="21"/>
    </row>
    <row r="4" spans="1:24" x14ac:dyDescent="0.3">
      <c r="R4" s="56"/>
    </row>
    <row r="5" spans="1:24" x14ac:dyDescent="0.3">
      <c r="R5" s="56"/>
    </row>
    <row r="6" spans="1:24" x14ac:dyDescent="0.3">
      <c r="R6" s="56"/>
    </row>
    <row r="7" spans="1:24" x14ac:dyDescent="0.3">
      <c r="R7" s="56"/>
    </row>
    <row r="8" spans="1:24" x14ac:dyDescent="0.3">
      <c r="R8" s="56"/>
    </row>
    <row r="9" spans="1:24" x14ac:dyDescent="0.3">
      <c r="R9" s="56"/>
    </row>
    <row r="10" spans="1:24" x14ac:dyDescent="0.3">
      <c r="R10" s="56"/>
    </row>
    <row r="11" spans="1:24" x14ac:dyDescent="0.3">
      <c r="R11" s="56"/>
    </row>
    <row r="12" spans="1:24" x14ac:dyDescent="0.3">
      <c r="R12" s="56"/>
    </row>
  </sheetData>
  <sheetProtection algorithmName="SHA-512" hashValue="2X4uN1X8xeFclURLvmW8lnM8B9mReBWKz0AHQ5kTiOeTby2hC8L+TQI6zihEqnm7q6Mb9/zktacj1GtDaZi6pA==" saltValue="BfQglpcvPI2pjwPun+2qSw==" spinCount="100000" sheet="1" objects="1" scenarios="1"/>
  <mergeCells count="1">
    <mergeCell ref="F1:J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showZeros="0" zoomScaleNormal="100" workbookViewId="0"/>
  </sheetViews>
  <sheetFormatPr defaultRowHeight="14.4" x14ac:dyDescent="0.3"/>
  <cols>
    <col min="1" max="16384" width="8.88671875" style="37"/>
  </cols>
  <sheetData>
    <row r="1" spans="1:26" s="13" customFormat="1" ht="49.95" customHeight="1" x14ac:dyDescent="0.3">
      <c r="A1" s="31"/>
      <c r="B1" s="32"/>
      <c r="C1" s="32"/>
      <c r="D1" s="32"/>
      <c r="E1" s="32"/>
      <c r="F1" s="68" t="s">
        <v>56</v>
      </c>
      <c r="G1" s="68"/>
      <c r="H1" s="68"/>
      <c r="I1" s="68"/>
      <c r="J1" s="68"/>
      <c r="K1" s="32"/>
      <c r="L1" s="32"/>
      <c r="M1" s="32"/>
      <c r="N1" s="32"/>
      <c r="O1" s="32"/>
      <c r="P1" s="33"/>
      <c r="Q1" s="33"/>
      <c r="R1" s="33"/>
      <c r="S1" s="34"/>
      <c r="T1" s="32"/>
      <c r="U1" s="35"/>
      <c r="V1" s="32"/>
      <c r="W1" s="36"/>
      <c r="X1" s="16"/>
      <c r="Y1" s="16"/>
      <c r="Z1" s="16"/>
    </row>
  </sheetData>
  <sheetProtection algorithmName="SHA-512" hashValue="HczUhnAixOfYg2LuzYVeAn2z5jJt5jMMaemr+rf03/mJK9vjrhwOAEA79i07we2RyM7RZgIZ7V5Hu0lyFuN8KA==" saltValue="EtIRmT58EPHJtAbIsKu0Gw==" spinCount="100000" sheet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workbookViewId="0">
      <selection activeCell="H14" sqref="H14"/>
    </sheetView>
  </sheetViews>
  <sheetFormatPr defaultRowHeight="14.4" x14ac:dyDescent="0.3"/>
  <cols>
    <col min="1" max="1" width="20" style="21" customWidth="1"/>
    <col min="2" max="2" width="6.21875" style="21" customWidth="1"/>
    <col min="3" max="3" width="13.44140625" style="21" customWidth="1"/>
    <col min="4" max="4" width="9" style="62" customWidth="1"/>
    <col min="5" max="5" width="8.88671875" style="62"/>
    <col min="6" max="16384" width="8.88671875" style="21"/>
  </cols>
  <sheetData>
    <row r="1" spans="1:5" ht="31.2" customHeight="1" x14ac:dyDescent="0.3">
      <c r="A1" s="43" t="s">
        <v>35</v>
      </c>
      <c r="B1" s="20" t="s">
        <v>53</v>
      </c>
      <c r="C1" s="20" t="s">
        <v>55</v>
      </c>
      <c r="D1" s="60" t="s">
        <v>41</v>
      </c>
      <c r="E1" s="60" t="s">
        <v>54</v>
      </c>
    </row>
    <row r="2" spans="1:5" x14ac:dyDescent="0.3">
      <c r="A2" s="44" t="s">
        <v>46</v>
      </c>
      <c r="B2" s="22">
        <v>1</v>
      </c>
      <c r="C2" s="23" t="str">
        <f>IF(B2=1,"janeiro","")</f>
        <v>janeiro</v>
      </c>
      <c r="D2" s="61">
        <f>SUMPRODUCT((MONTH(Tabela4[DATA])=B2)*(Tabela4[SUBTOTAL]))</f>
        <v>0</v>
      </c>
      <c r="E2" s="61">
        <f>SUMPRODUCT((MONTH(Tabela4[DATA])=B2)*(Tabela4[TOTAL DE CUSTO]))</f>
        <v>0</v>
      </c>
    </row>
    <row r="3" spans="1:5" x14ac:dyDescent="0.3">
      <c r="A3" s="44" t="s">
        <v>45</v>
      </c>
      <c r="B3" s="22">
        <v>2</v>
      </c>
      <c r="C3" s="23" t="str">
        <f>IF(B3=2,"Fevereiro","")</f>
        <v>Fevereiro</v>
      </c>
      <c r="D3" s="61">
        <f>SUMPRODUCT((MONTH(Tabela4[DATA])=B3)*(Tabela4[SUBTOTAL]))</f>
        <v>0</v>
      </c>
      <c r="E3" s="61">
        <f>SUMPRODUCT((MONTH(Tabela4[DATA])=B3)*(Tabela4[TOTAL DE CUSTO]))</f>
        <v>0</v>
      </c>
    </row>
    <row r="4" spans="1:5" x14ac:dyDescent="0.3">
      <c r="A4" s="44" t="s">
        <v>44</v>
      </c>
      <c r="B4" s="22">
        <v>3</v>
      </c>
      <c r="C4" s="23" t="str">
        <f>IF(B4=3,"Março","")</f>
        <v>Março</v>
      </c>
      <c r="D4" s="61">
        <f>SUMPRODUCT((MONTH(Tabela4[DATA])=B4)*(Tabela4[SUBTOTAL]))</f>
        <v>0</v>
      </c>
      <c r="E4" s="61">
        <f>SUMPRODUCT((MONTH(Tabela4[DATA])=B4)*(Tabela4[TOTAL DE CUSTO]))</f>
        <v>0</v>
      </c>
    </row>
    <row r="5" spans="1:5" x14ac:dyDescent="0.3">
      <c r="A5" s="44" t="s">
        <v>47</v>
      </c>
      <c r="B5" s="22">
        <v>4</v>
      </c>
      <c r="C5" s="23" t="str">
        <f>IF(B5=4,"Abril","")</f>
        <v>Abril</v>
      </c>
      <c r="D5" s="61">
        <f>SUMPRODUCT((MONTH(Tabela4[DATA])=B5)*(Tabela4[SUBTOTAL]))</f>
        <v>0</v>
      </c>
      <c r="E5" s="61">
        <f>SUMPRODUCT((MONTH(Tabela4[DATA])=B5)*(Tabela4[TOTAL DE CUSTO]))</f>
        <v>0</v>
      </c>
    </row>
    <row r="6" spans="1:5" x14ac:dyDescent="0.3">
      <c r="B6" s="22">
        <v>5</v>
      </c>
      <c r="C6" s="23" t="str">
        <f>IF(B6=5,"Maio","")</f>
        <v>Maio</v>
      </c>
      <c r="D6" s="61">
        <f>SUMPRODUCT((MONTH(Tabela4[DATA])=B6)*(Tabela4[SUBTOTAL]))</f>
        <v>0</v>
      </c>
      <c r="E6" s="61">
        <f>SUMPRODUCT((MONTH(Tabela4[DATA])=B6)*(Tabela4[TOTAL DE CUSTO]))</f>
        <v>0</v>
      </c>
    </row>
    <row r="7" spans="1:5" x14ac:dyDescent="0.3">
      <c r="B7" s="22">
        <v>6</v>
      </c>
      <c r="C7" s="23" t="str">
        <f>IF(B7=6,"Junho","")</f>
        <v>Junho</v>
      </c>
      <c r="D7" s="61">
        <f>SUMPRODUCT((MONTH(Tabela4[DATA])=B7)*(Tabela4[SUBTOTAL]))</f>
        <v>0</v>
      </c>
      <c r="E7" s="61">
        <f>SUMPRODUCT((MONTH(Tabela4[DATA])=B7)*(Tabela4[TOTAL DE CUSTO]))</f>
        <v>0</v>
      </c>
    </row>
    <row r="8" spans="1:5" x14ac:dyDescent="0.3">
      <c r="B8" s="22">
        <v>7</v>
      </c>
      <c r="C8" s="23" t="str">
        <f>IF(B8=7,"Julho","")</f>
        <v>Julho</v>
      </c>
      <c r="D8" s="61">
        <f>SUMPRODUCT((MONTH(Tabela4[DATA])=B8)*(Tabela4[SUBTOTAL]))</f>
        <v>0</v>
      </c>
      <c r="E8" s="61">
        <f>SUMPRODUCT((MONTH(Tabela4[DATA])=B8)*(Tabela4[TOTAL DE CUSTO]))</f>
        <v>0</v>
      </c>
    </row>
    <row r="9" spans="1:5" x14ac:dyDescent="0.3">
      <c r="B9" s="22">
        <v>8</v>
      </c>
      <c r="C9" s="23" t="str">
        <f>IF(B9=8,"Agosto","")</f>
        <v>Agosto</v>
      </c>
      <c r="D9" s="61">
        <f>SUMPRODUCT((MONTH(Tabela4[DATA])=B9)*(Tabela4[SUBTOTAL]))</f>
        <v>0</v>
      </c>
      <c r="E9" s="61">
        <f>SUMPRODUCT((MONTH(Tabela4[DATA])=B9)*(Tabela4[TOTAL DE CUSTO]))</f>
        <v>0</v>
      </c>
    </row>
    <row r="10" spans="1:5" x14ac:dyDescent="0.3">
      <c r="B10" s="22">
        <v>9</v>
      </c>
      <c r="C10" s="23" t="str">
        <f>IF(B10=9,"Setembro","")</f>
        <v>Setembro</v>
      </c>
      <c r="D10" s="61">
        <f>SUMPRODUCT((MONTH(Tabela4[DATA])=B10)*(Tabela4[SUBTOTAL]))</f>
        <v>0</v>
      </c>
      <c r="E10" s="61">
        <f>SUMPRODUCT((MONTH(Tabela4[DATA])=B10)*(Tabela4[TOTAL DE CUSTO]))</f>
        <v>0</v>
      </c>
    </row>
    <row r="11" spans="1:5" x14ac:dyDescent="0.3">
      <c r="B11" s="22">
        <v>10</v>
      </c>
      <c r="C11" s="23" t="str">
        <f>IF(B11=10,"Outubro","")</f>
        <v>Outubro</v>
      </c>
      <c r="D11" s="61">
        <f>SUMPRODUCT((MONTH(Tabela4[DATA])=B11)*(Tabela4[SUBTOTAL]))</f>
        <v>0</v>
      </c>
      <c r="E11" s="61">
        <f>SUMPRODUCT((MONTH(Tabela4[DATA])=B11)*(Tabela4[TOTAL DE CUSTO]))</f>
        <v>0</v>
      </c>
    </row>
    <row r="12" spans="1:5" x14ac:dyDescent="0.3">
      <c r="B12" s="22">
        <v>11</v>
      </c>
      <c r="C12" s="23" t="str">
        <f>IF(B12=11,"Novembro","")</f>
        <v>Novembro</v>
      </c>
      <c r="D12" s="61">
        <f>SUMPRODUCT((MONTH(Tabela4[DATA])=B12)*(Tabela4[SUBTOTAL]))</f>
        <v>0</v>
      </c>
      <c r="E12" s="61">
        <f>SUMPRODUCT((MONTH(Tabela4[DATA])=B12)*(Tabela4[TOTAL DE CUSTO]))</f>
        <v>0</v>
      </c>
    </row>
    <row r="13" spans="1:5" x14ac:dyDescent="0.3">
      <c r="B13" s="22">
        <v>12</v>
      </c>
      <c r="C13" s="23" t="str">
        <f>IF(B13=12,"Dezembro","")</f>
        <v>Dezembro</v>
      </c>
      <c r="D13" s="61">
        <f>SUMPRODUCT((MONTH(Tabela4[DATA])=B13)*(Tabela4[SUBTOTAL]))</f>
        <v>0</v>
      </c>
      <c r="E13" s="61">
        <f>SUMPRODUCT((MONTH(Tabela4[DATA])=B13)*(Tabela4[TOTAL DE CUSTO]))</f>
        <v>0</v>
      </c>
    </row>
  </sheetData>
  <sheetProtection algorithmName="SHA-512" hashValue="TsKjE+GqgPX84G23c7y9jRZHAokKxBlY4d7Hd0NTcHmnIOpaGl7+B8tTpz+KTE9qXGRp6vxdIJo93qXM472Pvg==" saltValue="3w2UA0pCG/+fT+Dr2WBt0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2023-01-16T08:12:34Z</dcterms:modified>
</cp:coreProperties>
</file>