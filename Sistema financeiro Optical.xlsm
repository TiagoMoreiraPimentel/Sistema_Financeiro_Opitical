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tro\Desktop\"/>
    </mc:Choice>
  </mc:AlternateContent>
  <xr:revisionPtr revIDLastSave="0" documentId="13_ncr:1_{FEFC582F-09B1-4E01-94DC-7748D5E17640}" xr6:coauthVersionLast="47" xr6:coauthVersionMax="47" xr10:uidLastSave="{00000000-0000-0000-0000-000000000000}"/>
  <bookViews>
    <workbookView showSheetTabs="0" xWindow="-108" yWindow="-108" windowWidth="23256" windowHeight="12456" activeTab="2" xr2:uid="{00000000-000D-0000-FFFF-FFFF00000000}"/>
  </bookViews>
  <sheets>
    <sheet name="MENU" sheetId="1" r:id="rId1"/>
    <sheet name="DADOS CADASTRO" sheetId="8" r:id="rId2"/>
    <sheet name="DADOS VENDAS" sheetId="9" r:id="rId3"/>
    <sheet name="Graficos" sheetId="11" r:id="rId4"/>
    <sheet name="DADOS SISTEMA" sheetId="10" r:id="rId5"/>
  </sheets>
  <functionGroups builtInGroupCount="19"/>
  <definedNames>
    <definedName name="forma_pagamento">'DADOS SISTEMA'!$A$2:$A$5</definedName>
    <definedName name="graficoVendas_custo">OFFSET('DADOS VENDAS'!$O$4,0,0,COUNT('DADOS VENDAS'!$O:$O),1)</definedName>
    <definedName name="graficoVendas_data">OFFSET('DADOS VENDAS'!$I$4,0,0,COUNT('DADOS VENDAS'!$T:$T),1)</definedName>
    <definedName name="graficoVendas_lucro">OFFSET('DADOS VENDAS'!$T$4,0,0,COUNT('DADOS VENDAS'!$T:$T),1)</definedName>
    <definedName name="ID">'DADOS CADASTRO'!$AJ$2</definedName>
    <definedName name="ID_vendas">'DADOS VENDAS'!$W$2</definedName>
    <definedName name="nomes_cadastro">'DADOS CADASTRO'!$B$4:$B$1048576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0" i="9" l="1"/>
  <c r="O7" i="9"/>
  <c r="O9" i="9"/>
  <c r="T9" i="9" s="1"/>
  <c r="U9" i="9" s="1"/>
  <c r="R4" i="9"/>
  <c r="R5" i="9"/>
  <c r="R6" i="9"/>
  <c r="R7" i="9"/>
  <c r="R8" i="9"/>
  <c r="R9" i="9"/>
  <c r="R10" i="9"/>
  <c r="C13" i="10" l="1"/>
  <c r="C12" i="10"/>
  <c r="C11" i="10"/>
  <c r="C10" i="10"/>
  <c r="C9" i="10"/>
  <c r="C8" i="10"/>
  <c r="C7" i="10"/>
  <c r="C6" i="10"/>
  <c r="C5" i="10"/>
  <c r="C4" i="10"/>
  <c r="C3" i="10"/>
  <c r="C2" i="10"/>
  <c r="S9" i="9" l="1"/>
  <c r="T7" i="9"/>
  <c r="U7" i="9" s="1"/>
  <c r="S7" i="9" l="1"/>
  <c r="O4" i="9"/>
  <c r="T4" i="9" s="1"/>
  <c r="S4" i="9"/>
  <c r="U4" i="9" l="1"/>
  <c r="S5" i="9"/>
  <c r="S6" i="9"/>
  <c r="O6" i="9"/>
  <c r="T6" i="9" s="1"/>
  <c r="U6" i="9" s="1"/>
  <c r="O5" i="9"/>
  <c r="T5" i="9" s="1"/>
  <c r="U5" i="9" l="1"/>
  <c r="S8" i="9"/>
  <c r="O8" i="9"/>
  <c r="T8" i="9" l="1"/>
  <c r="U8" i="9" s="1"/>
  <c r="S10" i="9"/>
  <c r="T10" i="9"/>
  <c r="U10" i="9" l="1"/>
  <c r="S11" i="9" l="1"/>
  <c r="E13" i="10"/>
  <c r="E7" i="10"/>
  <c r="E12" i="10"/>
  <c r="E9" i="10"/>
  <c r="O11" i="9"/>
  <c r="E6" i="10" s="1"/>
  <c r="E5" i="10"/>
  <c r="E3" i="10" l="1"/>
  <c r="E11" i="10"/>
  <c r="T11" i="9"/>
  <c r="E10" i="10"/>
  <c r="E2" i="10"/>
  <c r="E8" i="10"/>
  <c r="U11" i="9"/>
  <c r="E4" i="10"/>
  <c r="D9" i="10" l="1"/>
  <c r="D12" i="10"/>
  <c r="D11" i="10"/>
  <c r="D13" i="10"/>
  <c r="D6" i="10"/>
  <c r="D7" i="10"/>
  <c r="D5" i="10"/>
  <c r="D8" i="10"/>
  <c r="D2" i="10"/>
  <c r="D4" i="10"/>
  <c r="D10" i="10"/>
  <c r="D3" i="10"/>
  <c r="R11" i="9"/>
</calcChain>
</file>

<file path=xl/sharedStrings.xml><?xml version="1.0" encoding="utf-8"?>
<sst xmlns="http://schemas.openxmlformats.org/spreadsheetml/2006/main" count="171" uniqueCount="119">
  <si>
    <t>DATA</t>
  </si>
  <si>
    <t>NOME COMPLETO</t>
  </si>
  <si>
    <t>CELULAR</t>
  </si>
  <si>
    <t>CPF</t>
  </si>
  <si>
    <t>ENDEREÇO</t>
  </si>
  <si>
    <t>OBSERVAÇÃO</t>
  </si>
  <si>
    <t>O/S</t>
  </si>
  <si>
    <t>TELEFONE FIXO</t>
  </si>
  <si>
    <t>OD-ESF</t>
  </si>
  <si>
    <t>OD-SIL</t>
  </si>
  <si>
    <t>OD-EIXO</t>
  </si>
  <si>
    <t>OD-DNP</t>
  </si>
  <si>
    <t>OD-ADIÇÃO</t>
  </si>
  <si>
    <t>OD-ALTURA</t>
  </si>
  <si>
    <t>ED-ESF</t>
  </si>
  <si>
    <t>ED-SIL</t>
  </si>
  <si>
    <t>ED-EIXO</t>
  </si>
  <si>
    <t>ED-DNP</t>
  </si>
  <si>
    <t>ED-ADIÇÃO</t>
  </si>
  <si>
    <t>ED-ALTURA</t>
  </si>
  <si>
    <t>OE-ESF</t>
  </si>
  <si>
    <t>OE-SIL</t>
  </si>
  <si>
    <t>OE-EIXO</t>
  </si>
  <si>
    <t>OE-ALTURA</t>
  </si>
  <si>
    <t>OD-ESF2</t>
  </si>
  <si>
    <t>OD-SIL3</t>
  </si>
  <si>
    <t>OD-EIXO4</t>
  </si>
  <si>
    <t>OD-ALTURA5</t>
  </si>
  <si>
    <t>ID</t>
  </si>
  <si>
    <t>NF</t>
  </si>
  <si>
    <t>TIPO LENTE</t>
  </si>
  <si>
    <t>DESCRIÇÃO</t>
  </si>
  <si>
    <t>QT</t>
  </si>
  <si>
    <t>F/P</t>
  </si>
  <si>
    <t>ARMAÇÃO</t>
  </si>
  <si>
    <t>CAIXINHA/SPRAY</t>
  </si>
  <si>
    <t>LENTE</t>
  </si>
  <si>
    <t>LUCRO</t>
  </si>
  <si>
    <t>Credito</t>
  </si>
  <si>
    <t>Debito</t>
  </si>
  <si>
    <t>Dinheiro</t>
  </si>
  <si>
    <t>Boleto</t>
  </si>
  <si>
    <t>DESENVOLVIDO POR TIAGO PIMENTEL - CELULAR: (11)94709-6148 - EMAIL: tiagomoreirapimentel@hotmail.com</t>
  </si>
  <si>
    <t>Dados do cadastro</t>
  </si>
  <si>
    <t>Dados das vendas</t>
  </si>
  <si>
    <t>SISTEMA FINANCEIRO DA boa visão</t>
  </si>
  <si>
    <t>MESES</t>
  </si>
  <si>
    <t>CUSTOS</t>
  </si>
  <si>
    <t>NOME MÊS</t>
  </si>
  <si>
    <t>GRAFICOS</t>
  </si>
  <si>
    <t>MONTAGEM</t>
  </si>
  <si>
    <t>UBIRAJARA PENTEADO</t>
  </si>
  <si>
    <t>+1,00</t>
  </si>
  <si>
    <t>-1,00</t>
  </si>
  <si>
    <t>+2,75</t>
  </si>
  <si>
    <t>+1,25</t>
  </si>
  <si>
    <t>-0,75</t>
  </si>
  <si>
    <t>+3,75</t>
  </si>
  <si>
    <t>+4,00</t>
  </si>
  <si>
    <t>ARMAÇÃO DO CLIENTE</t>
  </si>
  <si>
    <t>TECHNOPARK PLUS CR BLUE UV SURF</t>
  </si>
  <si>
    <t xml:space="preserve">	152596/0034</t>
  </si>
  <si>
    <t>152596/0034</t>
  </si>
  <si>
    <t>VINICIUS COLOGIS MIRANDA</t>
  </si>
  <si>
    <t>16/01/2023</t>
  </si>
  <si>
    <t>BLUE UV PLANO</t>
  </si>
  <si>
    <t>DESCANSO</t>
  </si>
  <si>
    <t xml:space="preserve">PAULO PEREIRA NEVES </t>
  </si>
  <si>
    <t>17/01/2023</t>
  </si>
  <si>
    <t>-2,00</t>
  </si>
  <si>
    <t xml:space="preserve">BLUE </t>
  </si>
  <si>
    <t>OCULOS PARA DESCANSO BLUE UV - PAGO</t>
  </si>
  <si>
    <t>ÓCULOS PARA FILHO DE PAULO-  SINAL DE 50,00 , FALTA 349,90</t>
  </si>
  <si>
    <t xml:space="preserve">TERESINHA MARIA DA SILVA OLIVEIRA </t>
  </si>
  <si>
    <t>18/01/2023</t>
  </si>
  <si>
    <t>+0,00</t>
  </si>
  <si>
    <t>-0,25</t>
  </si>
  <si>
    <t>-0,50</t>
  </si>
  <si>
    <t>+1,75</t>
  </si>
  <si>
    <t>TRIO EASY</t>
  </si>
  <si>
    <t>PAGAMENTO OK 4X C/C</t>
  </si>
  <si>
    <t>SINAL DE 50,00 - falta 349,90</t>
  </si>
  <si>
    <t>19/01/2023</t>
  </si>
  <si>
    <t>-2,50</t>
  </si>
  <si>
    <t>-3,00</t>
  </si>
  <si>
    <t>BLUE</t>
  </si>
  <si>
    <t>BEATRIZ DE MORAES SOARES</t>
  </si>
  <si>
    <t>IRÁ EFETUAR O PAGAMENTO QUANDO CARTÃO FECHAR</t>
  </si>
  <si>
    <t>PAGO 4X C/C</t>
  </si>
  <si>
    <t>PAGO EM DINHEIRO</t>
  </si>
  <si>
    <t>MARILENE VIEIRA DA SILVA RODRIGUES</t>
  </si>
  <si>
    <t>1195051-1908</t>
  </si>
  <si>
    <t>Sem observação</t>
  </si>
  <si>
    <t>24/01/2023</t>
  </si>
  <si>
    <t>+0,75</t>
  </si>
  <si>
    <t>-1,50</t>
  </si>
  <si>
    <t>BLUE MULTIFOCAL</t>
  </si>
  <si>
    <t>175877/0040</t>
  </si>
  <si>
    <t>4X C/C</t>
  </si>
  <si>
    <t>ROSILEIDE MARIA DA SILVA</t>
  </si>
  <si>
    <t>177698/0041</t>
  </si>
  <si>
    <t>+3,50</t>
  </si>
  <si>
    <t xml:space="preserve">TECHNOPARK PLUS CR BLUE+ ARMAÇÃO </t>
  </si>
  <si>
    <t>+ ANTIRREFLEXO PREMIUM TP PLUS</t>
  </si>
  <si>
    <t>350 em dinheiro , falta 400,00 pagar na retirada</t>
  </si>
  <si>
    <t>TAXA</t>
  </si>
  <si>
    <t>SINAL</t>
  </si>
  <si>
    <t>RESTANTE</t>
  </si>
  <si>
    <t>CAIXA</t>
  </si>
  <si>
    <t>VALOR VENDA</t>
  </si>
  <si>
    <t>LUCRO/%</t>
  </si>
  <si>
    <t>NOME</t>
  </si>
  <si>
    <t>TOTAL CUSTO</t>
  </si>
  <si>
    <t>1193150-5272</t>
  </si>
  <si>
    <t>CEP</t>
  </si>
  <si>
    <t>COMPLEMENTO</t>
  </si>
  <si>
    <t>BAIRRO</t>
  </si>
  <si>
    <t>LOCALIDADE</t>
  </si>
  <si>
    <t>UF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</si>
</sst>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_ ;[Red]\-0.00\ "/>
    <numFmt numFmtId="165" formatCode="m/d/yyyy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36"/>
      <color theme="0"/>
      <name val="Arial Rounded MT Bold"/>
      <family val="2"/>
    </font>
    <font>
      <sz val="28"/>
      <color theme="0"/>
      <name val="Castellar"/>
      <family val="1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5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4">
    <xf numFmtId="0" fontId="0" fillId="0" borderId="0" xfId="0"/>
    <xf numFmtId="0" fontId="0" fillId="2" borderId="0" xfId="0" applyFill="1" applyAlignment="1" applyProtection="1">
      <alignment horizontal="center" vertical="center"/>
      <protection locked="0"/>
    </xf>
    <xf numFmtId="2" fontId="0" fillId="2" borderId="0" xfId="0" applyNumberFormat="1" applyFill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14" fontId="0" fillId="5" borderId="2" xfId="0" applyNumberForma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horizontal="center" vertical="center"/>
      <protection locked="0"/>
    </xf>
    <xf numFmtId="164" fontId="0" fillId="2" borderId="0" xfId="0" applyNumberFormat="1" applyFill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0" fontId="5" fillId="6" borderId="1" xfId="0" applyFont="1" applyFill="1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2" borderId="0" xfId="0" applyFill="1" applyAlignment="1">
      <alignment horizontal="center" vertical="center"/>
    </xf>
    <xf numFmtId="0" fontId="0" fillId="10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8" fillId="9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0" fillId="10" borderId="0" xfId="0" applyFill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14" fontId="4" fillId="3" borderId="4" xfId="0" applyNumberFormat="1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10" borderId="10" xfId="0" applyFill="1" applyBorder="1" applyAlignment="1">
      <alignment vertical="center"/>
    </xf>
    <xf numFmtId="0" fontId="0" fillId="10" borderId="12" xfId="0" applyFill="1" applyBorder="1" applyAlignment="1">
      <alignment vertical="center"/>
    </xf>
    <xf numFmtId="2" fontId="0" fillId="10" borderId="12" xfId="0" applyNumberFormat="1" applyFill="1" applyBorder="1" applyAlignment="1">
      <alignment vertical="center"/>
    </xf>
    <xf numFmtId="10" fontId="0" fillId="10" borderId="12" xfId="0" applyNumberFormat="1" applyFill="1" applyBorder="1" applyAlignment="1">
      <alignment vertical="center"/>
    </xf>
    <xf numFmtId="0" fontId="8" fillId="10" borderId="12" xfId="0" applyFont="1" applyFill="1" applyBorder="1" applyAlignment="1">
      <alignment horizontal="center" vertical="center"/>
    </xf>
    <xf numFmtId="0" fontId="0" fillId="10" borderId="11" xfId="0" applyFill="1" applyBorder="1" applyAlignment="1">
      <alignment vertical="center"/>
    </xf>
    <xf numFmtId="0" fontId="0" fillId="2" borderId="0" xfId="0" applyFill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13" xfId="0" applyNumberFormat="1" applyBorder="1" applyAlignment="1" applyProtection="1">
      <alignment horizontal="center" vertical="center"/>
      <protection locked="0"/>
    </xf>
    <xf numFmtId="14" fontId="0" fillId="0" borderId="13" xfId="0" applyNumberFormat="1" applyBorder="1" applyAlignment="1" applyProtection="1">
      <alignment horizontal="center" vertical="center"/>
      <protection locked="0"/>
    </xf>
    <xf numFmtId="2" fontId="2" fillId="2" borderId="0" xfId="0" applyNumberFormat="1" applyFont="1" applyFill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>
      <alignment horizontal="center" vertical="center"/>
    </xf>
    <xf numFmtId="2" fontId="0" fillId="11" borderId="1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2" fillId="6" borderId="1" xfId="0" applyNumberFormat="1" applyFon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0" fontId="0" fillId="6" borderId="1" xfId="0" applyNumberForma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2" fontId="2" fillId="6" borderId="13" xfId="0" applyNumberFormat="1" applyFont="1" applyFill="1" applyBorder="1" applyAlignment="1">
      <alignment horizontal="center" vertical="center"/>
    </xf>
    <xf numFmtId="0" fontId="0" fillId="10" borderId="0" xfId="0" applyFill="1" applyAlignment="1" applyProtection="1">
      <alignment vertical="center"/>
      <protection locked="0"/>
    </xf>
    <xf numFmtId="2" fontId="0" fillId="10" borderId="0" xfId="0" applyNumberFormat="1" applyFill="1" applyAlignment="1" applyProtection="1">
      <alignment horizontal="center" vertical="center"/>
      <protection locked="0"/>
    </xf>
    <xf numFmtId="2" fontId="0" fillId="10" borderId="0" xfId="0" applyNumberFormat="1" applyFill="1" applyAlignment="1" applyProtection="1">
      <alignment vertical="center"/>
      <protection locked="0"/>
    </xf>
    <xf numFmtId="0" fontId="0" fillId="2" borderId="0" xfId="0" applyFill="1" applyAlignment="1" applyProtection="1">
      <alignment vertical="center"/>
      <protection locked="0"/>
    </xf>
    <xf numFmtId="0" fontId="8" fillId="9" borderId="0" xfId="0" applyFont="1" applyFill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  <protection locked="0"/>
    </xf>
    <xf numFmtId="0" fontId="4" fillId="3" borderId="9" xfId="0" applyFont="1" applyFill="1" applyBorder="1" applyAlignment="1" applyProtection="1">
      <alignment horizontal="center" vertical="center"/>
      <protection locked="0"/>
    </xf>
    <xf numFmtId="14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8" borderId="9" xfId="0" applyNumberFormat="1" applyFont="1" applyFill="1" applyBorder="1" applyAlignment="1" applyProtection="1">
      <alignment horizontal="left" vertical="center"/>
      <protection locked="0"/>
    </xf>
    <xf numFmtId="2" fontId="1" fillId="3" borderId="9" xfId="0" applyNumberFormat="1" applyFont="1" applyFill="1" applyBorder="1" applyAlignment="1" applyProtection="1">
      <alignment horizontal="center" vertical="center"/>
      <protection locked="0"/>
    </xf>
    <xf numFmtId="2" fontId="2" fillId="0" borderId="13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" fontId="0" fillId="10" borderId="0" xfId="0" applyNumberFormat="1" applyFill="1" applyAlignment="1">
      <alignment vertical="center"/>
    </xf>
    <xf numFmtId="2" fontId="6" fillId="8" borderId="9" xfId="0" applyNumberFormat="1" applyFont="1" applyFill="1" applyBorder="1" applyAlignment="1">
      <alignment horizontal="center" vertical="center"/>
    </xf>
    <xf numFmtId="2" fontId="2" fillId="2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1" fillId="3" borderId="9" xfId="0" applyNumberFormat="1" applyFont="1" applyFill="1" applyBorder="1" applyAlignment="1">
      <alignment horizontal="center" vertical="center"/>
    </xf>
    <xf numFmtId="10" fontId="0" fillId="10" borderId="0" xfId="0" applyNumberFormat="1" applyFill="1" applyAlignment="1">
      <alignment vertical="center"/>
    </xf>
    <xf numFmtId="10" fontId="0" fillId="2" borderId="0" xfId="0" applyNumberFormat="1" applyFill="1" applyAlignment="1">
      <alignment horizontal="center" vertical="center"/>
    </xf>
    <xf numFmtId="2" fontId="0" fillId="6" borderId="13" xfId="0" applyNumberFormat="1" applyFill="1" applyBorder="1" applyAlignment="1">
      <alignment horizontal="center" vertical="center"/>
    </xf>
    <xf numFmtId="10" fontId="1" fillId="3" borderId="6" xfId="0" applyNumberFormat="1" applyFont="1" applyFill="1" applyBorder="1" applyAlignment="1">
      <alignment horizontal="center" vertical="center"/>
    </xf>
    <xf numFmtId="10" fontId="0" fillId="6" borderId="13" xfId="0" applyNumberFormat="1" applyFill="1" applyBorder="1" applyAlignment="1">
      <alignment horizontal="center" vertical="center"/>
    </xf>
    <xf numFmtId="2" fontId="2" fillId="0" borderId="1" xfId="0" applyNumberFormat="1" applyFont="1" applyBorder="1" applyAlignment="1" applyProtection="1">
      <alignment horizontal="center" vertical="center"/>
      <protection locked="0"/>
    </xf>
    <xf numFmtId="0" fontId="5" fillId="6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  <xf numFmtId="14" fontId="0" fillId="10" borderId="0" xfId="0" applyNumberFormat="1" applyFill="1" applyAlignment="1">
      <alignment vertical="center"/>
    </xf>
    <xf numFmtId="49" fontId="0" fillId="10" borderId="0" xfId="0" applyNumberFormat="1" applyFill="1" applyAlignment="1">
      <alignment vertical="center"/>
    </xf>
    <xf numFmtId="49" fontId="4" fillId="3" borderId="4" xfId="0" applyNumberFormat="1" applyFont="1" applyFill="1" applyBorder="1" applyAlignment="1">
      <alignment horizontal="center" vertical="center"/>
    </xf>
    <xf numFmtId="49" fontId="0" fillId="5" borderId="2" xfId="0" applyNumberFormat="1" applyFill="1" applyBorder="1" applyAlignment="1" applyProtection="1">
      <alignment horizontal="center" vertical="center"/>
      <protection locked="0"/>
    </xf>
    <xf numFmtId="49" fontId="0" fillId="2" borderId="0" xfId="0" applyNumberFormat="1" applyFill="1" applyAlignment="1" applyProtection="1">
      <alignment horizontal="center" vertical="center"/>
      <protection locked="0"/>
    </xf>
    <xf numFmtId="165" fontId="0" fillId="5" borderId="2" xfId="0" applyNumberFormat="1" applyFill="1" applyBorder="1" applyAlignment="1" applyProtection="1">
      <alignment horizontal="center" vertical="center"/>
      <protection locked="0"/>
    </xf>
    <xf numFmtId="164" fontId="0" fillId="5" borderId="11" xfId="0" applyNumberFormat="1" applyFill="1" applyBorder="1" applyAlignment="1" applyProtection="1">
      <alignment horizontal="left" vertical="center"/>
      <protection locked="0"/>
    </xf>
    <xf numFmtId="0" fontId="10" fillId="10" borderId="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left"/>
    </xf>
    <xf numFmtId="0" fontId="9" fillId="10" borderId="0" xfId="0" applyFont="1" applyFill="1" applyAlignment="1">
      <alignment horizontal="left" vertical="center"/>
    </xf>
    <xf numFmtId="0" fontId="0" fillId="10" borderId="0" xfId="0" applyFill="1" applyAlignment="1">
      <alignment horizontal="left" vertical="center"/>
    </xf>
    <xf numFmtId="0" fontId="9" fillId="10" borderId="0" xfId="0" applyFont="1" applyFill="1" applyAlignment="1" applyProtection="1">
      <alignment horizontal="left" vertical="center"/>
      <protection locked="0"/>
    </xf>
    <xf numFmtId="0" fontId="9" fillId="10" borderId="12" xfId="0" applyFont="1" applyFill="1" applyBorder="1" applyAlignment="1">
      <alignment horizontal="left" vertical="center"/>
    </xf>
  </cellXfs>
  <cellStyles count="1">
    <cellStyle name="Normal" xfId="0" builtinId="0"/>
  </cellStyles>
  <dxfs count="63">
    <dxf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65" formatCode="m/d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lt1">
                  <a:lumMod val="85000"/>
                </a:schemeClr>
              </a:solidFill>
              <a:latin typeface="+mj-lt"/>
              <a:ea typeface="+mj-ea"/>
              <a:cs typeface="+mj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2103056083506804E-2"/>
          <c:y val="0.10097159940209269"/>
          <c:w val="0.93932195975503063"/>
          <c:h val="0.76370890858373641"/>
        </c:manualLayout>
      </c:layout>
      <c:areaChart>
        <c:grouping val="standard"/>
        <c:varyColors val="0"/>
        <c:ser>
          <c:idx val="0"/>
          <c:order val="0"/>
          <c:tx>
            <c:v>LUCRO</c:v>
          </c:tx>
          <c:spPr>
            <a:gradFill flip="none" rotWithShape="1">
              <a:gsLst>
                <a:gs pos="0">
                  <a:schemeClr val="accent1">
                    <a:lumMod val="50000"/>
                    <a:shade val="30000"/>
                    <a:satMod val="115000"/>
                  </a:schemeClr>
                </a:gs>
                <a:gs pos="50000">
                  <a:schemeClr val="accent1">
                    <a:lumMod val="50000"/>
                    <a:shade val="67500"/>
                    <a:satMod val="115000"/>
                  </a:schemeClr>
                </a:gs>
                <a:gs pos="100000">
                  <a:schemeClr val="accent1">
                    <a:lumMod val="50000"/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 w="19050">
              <a:solidFill>
                <a:schemeClr val="bg1"/>
              </a:solidFill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[0]!graficoVendas_data</c:f>
              <c:strCache>
                <c:ptCount val="7"/>
                <c:pt idx="0">
                  <c:v>1/12/2023</c:v>
                </c:pt>
                <c:pt idx="1">
                  <c:v>16/01/2023</c:v>
                </c:pt>
                <c:pt idx="2">
                  <c:v>17/01/2023</c:v>
                </c:pt>
                <c:pt idx="3">
                  <c:v>18/01/2023</c:v>
                </c:pt>
                <c:pt idx="4">
                  <c:v>19/01/2023</c:v>
                </c:pt>
                <c:pt idx="5">
                  <c:v>24/01/2023</c:v>
                </c:pt>
                <c:pt idx="6">
                  <c:v>24/01/2023</c:v>
                </c:pt>
              </c:strCache>
            </c:strRef>
          </c:cat>
          <c:val>
            <c:numRef>
              <c:f>[0]!graficoVendas_lucro</c:f>
              <c:numCache>
                <c:formatCode>0.00</c:formatCode>
                <c:ptCount val="8"/>
                <c:pt idx="0">
                  <c:v>664.1</c:v>
                </c:pt>
                <c:pt idx="1">
                  <c:v>181</c:v>
                </c:pt>
                <c:pt idx="2">
                  <c:v>330.9</c:v>
                </c:pt>
                <c:pt idx="3">
                  <c:v>334.12</c:v>
                </c:pt>
                <c:pt idx="4">
                  <c:v>191</c:v>
                </c:pt>
                <c:pt idx="5">
                  <c:v>546.04999999999995</c:v>
                </c:pt>
                <c:pt idx="6">
                  <c:v>587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74-4E29-A2FC-AD3F450DF54D}"/>
            </c:ext>
          </c:extLst>
        </c:ser>
        <c:ser>
          <c:idx val="1"/>
          <c:order val="1"/>
          <c:tx>
            <c:v>CUSTO</c:v>
          </c:tx>
          <c:spPr>
            <a:gradFill>
              <a:gsLst>
                <a:gs pos="100000">
                  <a:schemeClr val="accent2"/>
                </a:gs>
                <a:gs pos="0">
                  <a:schemeClr val="accent2">
                    <a:lumMod val="75000"/>
                  </a:schemeClr>
                </a:gs>
              </a:gsLst>
              <a:lin ang="0" scaled="1"/>
            </a:gradFill>
            <a:ln w="19050">
              <a:solidFill>
                <a:schemeClr val="bg1"/>
              </a:solidFill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[0]!graficoVendas_data</c:f>
              <c:strCache>
                <c:ptCount val="7"/>
                <c:pt idx="0">
                  <c:v>1/12/2023</c:v>
                </c:pt>
                <c:pt idx="1">
                  <c:v>16/01/2023</c:v>
                </c:pt>
                <c:pt idx="2">
                  <c:v>17/01/2023</c:v>
                </c:pt>
                <c:pt idx="3">
                  <c:v>18/01/2023</c:v>
                </c:pt>
                <c:pt idx="4">
                  <c:v>19/01/2023</c:v>
                </c:pt>
                <c:pt idx="5">
                  <c:v>24/01/2023</c:v>
                </c:pt>
                <c:pt idx="6">
                  <c:v>24/01/2023</c:v>
                </c:pt>
              </c:strCache>
            </c:strRef>
          </c:cat>
          <c:val>
            <c:numRef>
              <c:f>[0]!graficoVendas_custo</c:f>
              <c:numCache>
                <c:formatCode>0.00</c:formatCode>
                <c:ptCount val="8"/>
                <c:pt idx="0">
                  <c:v>85.9</c:v>
                </c:pt>
                <c:pt idx="1">
                  <c:v>69</c:v>
                </c:pt>
                <c:pt idx="2">
                  <c:v>69</c:v>
                </c:pt>
                <c:pt idx="3">
                  <c:v>65.88</c:v>
                </c:pt>
                <c:pt idx="4">
                  <c:v>69</c:v>
                </c:pt>
                <c:pt idx="5">
                  <c:v>203.95</c:v>
                </c:pt>
                <c:pt idx="6">
                  <c:v>163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74-4E29-A2FC-AD3F450DF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lt1">
                  <a:alpha val="40000"/>
                </a:schemeClr>
              </a:solidFill>
              <a:round/>
            </a:ln>
            <a:effectLst/>
          </c:spPr>
        </c:dropLines>
        <c:axId val="1928236735"/>
        <c:axId val="1928226335"/>
      </c:areaChart>
      <c:catAx>
        <c:axId val="19282367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75" cap="flat" cmpd="sng" algn="ctr">
            <a:solidFill>
              <a:schemeClr val="lt1">
                <a:lumMod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1" i="0" u="none" strike="noStrike" kern="1200" cap="all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l"/>
        <c:numFmt formatCode="0.00" sourceLinked="0"/>
        <c:majorTickMark val="out"/>
        <c:minorTickMark val="none"/>
        <c:tickLblPos val="nextTo"/>
        <c:crossAx val="192823673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lt1">
          <a:lumMod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TOTAL</a:t>
            </a:r>
            <a:r>
              <a:rPr lang="pt-BR" baseline="0"/>
              <a:t> DE VENDAS MENSAL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5890623161155949E-2"/>
          <c:y val="8.3554924486898149E-2"/>
          <c:w val="0.9750672589284004"/>
          <c:h val="0.76370890858373641"/>
        </c:manualLayout>
      </c:layout>
      <c:barChart>
        <c:barDir val="col"/>
        <c:grouping val="stacked"/>
        <c:varyColors val="0"/>
        <c:ser>
          <c:idx val="1"/>
          <c:order val="1"/>
          <c:tx>
            <c:v>Custo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SISTEMA'!$E$2:$E$13</c:f>
              <c:numCache>
                <c:formatCode>0.00</c:formatCode>
                <c:ptCount val="12"/>
                <c:pt idx="0">
                  <c:v>725.73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D6-40D4-92E5-E68FD7FF297F}"/>
            </c:ext>
          </c:extLst>
        </c:ser>
        <c:ser>
          <c:idx val="0"/>
          <c:order val="0"/>
          <c:tx>
            <c:v>Lucro</c:v>
          </c:tx>
          <c:spPr>
            <a:gradFill flip="none" rotWithShape="1">
              <a:gsLst>
                <a:gs pos="0">
                  <a:schemeClr val="accent1">
                    <a:lumMod val="50000"/>
                    <a:shade val="30000"/>
                    <a:satMod val="115000"/>
                  </a:schemeClr>
                </a:gs>
                <a:gs pos="50000">
                  <a:schemeClr val="accent1">
                    <a:lumMod val="50000"/>
                    <a:shade val="67500"/>
                    <a:satMod val="115000"/>
                  </a:schemeClr>
                </a:gs>
                <a:gs pos="100000">
                  <a:schemeClr val="accent1">
                    <a:lumMod val="50000"/>
                    <a:shade val="100000"/>
                    <a:satMod val="115000"/>
                  </a:schemeClr>
                </a:gs>
              </a:gsLst>
              <a:path path="circle">
                <a:fillToRect l="100000" b="100000"/>
              </a:path>
              <a:tileRect t="-100000" r="-100000"/>
            </a:gra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SISTEMA'!$D$2:$D$13</c:f>
              <c:numCache>
                <c:formatCode>0.00</c:formatCode>
                <c:ptCount val="12"/>
                <c:pt idx="0">
                  <c:v>2834.17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D6-40D4-92E5-E68FD7FF2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out"/>
        <c:minorTickMark val="none"/>
        <c:tickLblPos val="nextTo"/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7">
  <cs:axisTitle>
    <cs:lnRef idx="0"/>
    <cs:fillRef idx="0"/>
    <cs:effectRef idx="0"/>
    <cs:fontRef idx="minor">
      <a:schemeClr val="lt1">
        <a:lumMod val="8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75" cap="flat" cmpd="sng" algn="ctr">
        <a:solidFill>
          <a:schemeClr val="lt1">
            <a:lumMod val="75000"/>
          </a:schemeClr>
        </a:solidFill>
        <a:round/>
        <a:headEnd type="none" w="sm" len="sm"/>
        <a:tailEnd type="none" w="sm" len="sm"/>
      </a:ln>
    </cs:spPr>
    <cs:defRPr sz="900" b="1" kern="1200" cap="all" baseline="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lt1">
            <a:lumMod val="7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85000"/>
      </a:schemeClr>
    </cs:fontRef>
    <cs:spPr>
      <a:solidFill>
        <a:schemeClr val="dk1">
          <a:lumMod val="65000"/>
          <a:lumOff val="35000"/>
        </a:schemeClr>
      </a:solidFill>
      <a:ln>
        <a:solidFill>
          <a:schemeClr val="lt1">
            <a:lumMod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50000"/>
      </a:schemeClr>
    </cs:fontRef>
    <cs:spPr>
      <a:ln w="9525">
        <a:solidFill>
          <a:schemeClr val="lt1">
            <a:lumMod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prstDash val="sysDot"/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6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bg1">
        <a:lumMod val="85000"/>
      </a:schemeClr>
    </cs:fontRef>
    <cs:spPr>
      <a:ln w="19050" cap="flat" cmpd="sng" algn="ctr">
        <a:solidFill>
          <a:schemeClr val="bg1">
            <a:lumMod val="85000"/>
          </a:schemeClr>
        </a:solidFill>
        <a:round/>
        <a:headEnd type="none" w="sm" len="sm"/>
        <a:tailEnd type="none" w="sm" len="sm"/>
      </a:ln>
    </cs:spPr>
    <cs:defRPr sz="900" b="1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ajor">
      <a:schemeClr val="lt1">
        <a:lumMod val="8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1.png"/><Relationship Id="rId7" Type="http://schemas.openxmlformats.org/officeDocument/2006/relationships/hyperlink" Target="#Graficos!A1"/><Relationship Id="rId2" Type="http://schemas.openxmlformats.org/officeDocument/2006/relationships/hyperlink" Target="#'DADOS VENDAS'!A1"/><Relationship Id="rId1" Type="http://schemas.openxmlformats.org/officeDocument/2006/relationships/hyperlink" Target="#'DADOS CADASTRO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chart" Target="../charts/chart2.xml"/><Relationship Id="rId2" Type="http://schemas.openxmlformats.org/officeDocument/2006/relationships/hyperlink" Target="#MENU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2</xdr:row>
      <xdr:rowOff>53340</xdr:rowOff>
    </xdr:from>
    <xdr:to>
      <xdr:col>4</xdr:col>
      <xdr:colOff>182880</xdr:colOff>
      <xdr:row>7</xdr:row>
      <xdr:rowOff>76200</xdr:rowOff>
    </xdr:to>
    <xdr:sp macro="[0]!abrir_tela_ListaCadastro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ADCB6D-3127-48D6-B831-013913F5A183}"/>
            </a:ext>
          </a:extLst>
        </xdr:cNvPr>
        <xdr:cNvSpPr/>
      </xdr:nvSpPr>
      <xdr:spPr>
        <a:xfrm>
          <a:off x="1104900" y="112776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CADASTRO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</xdr:col>
      <xdr:colOff>480060</xdr:colOff>
      <xdr:row>9</xdr:row>
      <xdr:rowOff>45720</xdr:rowOff>
    </xdr:from>
    <xdr:to>
      <xdr:col>4</xdr:col>
      <xdr:colOff>167640</xdr:colOff>
      <xdr:row>14</xdr:row>
      <xdr:rowOff>68580</xdr:rowOff>
    </xdr:to>
    <xdr:sp macro="[0]!abrir_tela_ListaVendas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5A90CB-11E4-4515-933E-FA4338605B6A}"/>
            </a:ext>
          </a:extLst>
        </xdr:cNvPr>
        <xdr:cNvSpPr/>
      </xdr:nvSpPr>
      <xdr:spPr>
        <a:xfrm>
          <a:off x="1089660" y="240030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VENDAS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20</xdr:col>
      <xdr:colOff>510540</xdr:colOff>
      <xdr:row>0</xdr:row>
      <xdr:rowOff>228600</xdr:rowOff>
    </xdr:from>
    <xdr:to>
      <xdr:col>21</xdr:col>
      <xdr:colOff>260940</xdr:colOff>
      <xdr:row>0</xdr:row>
      <xdr:rowOff>588600</xdr:rowOff>
    </xdr:to>
    <xdr:pic macro="[0]!lsLigarTelaCheia">
      <xdr:nvPicPr>
        <xdr:cNvPr id="21" name="Imagem 20">
          <a:extLst>
            <a:ext uri="{FF2B5EF4-FFF2-40B4-BE49-F238E27FC236}">
              <a16:creationId xmlns:a16="http://schemas.microsoft.com/office/drawing/2014/main" id="{977A6EC4-3BD5-8422-9B86-65BC4644A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540" y="2286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462421</xdr:colOff>
      <xdr:row>0</xdr:row>
      <xdr:rowOff>217907</xdr:rowOff>
    </xdr:from>
    <xdr:to>
      <xdr:col>20</xdr:col>
      <xdr:colOff>212821</xdr:colOff>
      <xdr:row>0</xdr:row>
      <xdr:rowOff>577907</xdr:rowOff>
    </xdr:to>
    <xdr:pic macro="[0]!lsDesligarTelaCheia">
      <xdr:nvPicPr>
        <xdr:cNvPr id="23" name="Imagem 22">
          <a:extLst>
            <a:ext uri="{FF2B5EF4-FFF2-40B4-BE49-F238E27FC236}">
              <a16:creationId xmlns:a16="http://schemas.microsoft.com/office/drawing/2014/main" id="{830B191F-CFEA-1E65-65F8-99C8537DB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44821" y="217907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99060</xdr:colOff>
      <xdr:row>22</xdr:row>
      <xdr:rowOff>76200</xdr:rowOff>
    </xdr:from>
    <xdr:to>
      <xdr:col>21</xdr:col>
      <xdr:colOff>459060</xdr:colOff>
      <xdr:row>22</xdr:row>
      <xdr:rowOff>436200</xdr:rowOff>
    </xdr:to>
    <xdr:pic macro="[0]!Fechar_planilha_Salvar">
      <xdr:nvPicPr>
        <xdr:cNvPr id="17" name="Imagem 16">
          <a:extLst>
            <a:ext uri="{FF2B5EF4-FFF2-40B4-BE49-F238E27FC236}">
              <a16:creationId xmlns:a16="http://schemas.microsoft.com/office/drawing/2014/main" id="{FF56C740-0749-8C7D-2C45-A116E7E23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0660" y="4808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205740</xdr:colOff>
      <xdr:row>1</xdr:row>
      <xdr:rowOff>53340</xdr:rowOff>
    </xdr:from>
    <xdr:to>
      <xdr:col>19</xdr:col>
      <xdr:colOff>205145</xdr:colOff>
      <xdr:row>21</xdr:row>
      <xdr:rowOff>152400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7EB9A1EE-AC9D-6E45-5140-03E2CCFBE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0540" y="944880"/>
          <a:ext cx="3657005" cy="3756660"/>
        </a:xfrm>
        <a:prstGeom prst="rect">
          <a:avLst/>
        </a:prstGeom>
      </xdr:spPr>
    </xdr:pic>
    <xdr:clientData/>
  </xdr:twoCellAnchor>
  <xdr:twoCellAnchor>
    <xdr:from>
      <xdr:col>1</xdr:col>
      <xdr:colOff>556260</xdr:colOff>
      <xdr:row>15</xdr:row>
      <xdr:rowOff>68580</xdr:rowOff>
    </xdr:from>
    <xdr:to>
      <xdr:col>4</xdr:col>
      <xdr:colOff>19050</xdr:colOff>
      <xdr:row>21</xdr:row>
      <xdr:rowOff>69967</xdr:rowOff>
    </xdr:to>
    <xdr:grpSp>
      <xdr:nvGrpSpPr>
        <xdr:cNvPr id="9" name="Agrupar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C1998B7-76C9-9E0D-48C1-EF8D87AF16FC}"/>
            </a:ext>
          </a:extLst>
        </xdr:cNvPr>
        <xdr:cNvGrpSpPr/>
      </xdr:nvGrpSpPr>
      <xdr:grpSpPr>
        <a:xfrm>
          <a:off x="1165860" y="3520440"/>
          <a:ext cx="1291590" cy="1098667"/>
          <a:chOff x="1165860" y="3520440"/>
          <a:chExt cx="1291590" cy="1098667"/>
        </a:xfrm>
      </xdr:grpSpPr>
      <xdr:pic macro="[0]!Chamar_Grafico">
        <xdr:nvPicPr>
          <xdr:cNvPr id="3" name="Imagem 2">
            <a:extLst>
              <a:ext uri="{FF2B5EF4-FFF2-40B4-BE49-F238E27FC236}">
                <a16:creationId xmlns:a16="http://schemas.microsoft.com/office/drawing/2014/main" id="{7FCAF3CD-717A-0D55-802D-74B460015E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5860" y="3520440"/>
            <a:ext cx="1291590" cy="861060"/>
          </a:xfrm>
          <a:prstGeom prst="rect">
            <a:avLst/>
          </a:prstGeom>
        </xdr:spPr>
      </xdr:pic>
      <xdr:sp macro="[0]!Chamar_Grafico" textlink="">
        <xdr:nvSpPr>
          <xdr:cNvPr id="7" name="Retângulo 6">
            <a:extLst>
              <a:ext uri="{FF2B5EF4-FFF2-40B4-BE49-F238E27FC236}">
                <a16:creationId xmlns:a16="http://schemas.microsoft.com/office/drawing/2014/main" id="{8773CA38-350B-CB30-3DA4-679C1BF4C3DF}"/>
              </a:ext>
            </a:extLst>
          </xdr:cNvPr>
          <xdr:cNvSpPr/>
        </xdr:nvSpPr>
        <xdr:spPr>
          <a:xfrm>
            <a:off x="1270782" y="4213675"/>
            <a:ext cx="1039836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Graficos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 editAs="oneCell">
    <xdr:from>
      <xdr:col>21</xdr:col>
      <xdr:colOff>91440</xdr:colOff>
      <xdr:row>1</xdr:row>
      <xdr:rowOff>114300</xdr:rowOff>
    </xdr:from>
    <xdr:to>
      <xdr:col>21</xdr:col>
      <xdr:colOff>548640</xdr:colOff>
      <xdr:row>4</xdr:row>
      <xdr:rowOff>22860</xdr:rowOff>
    </xdr:to>
    <xdr:pic macro="[0]!chamar_menu_devolta">
      <xdr:nvPicPr>
        <xdr:cNvPr id="5" name="Imagem 4">
          <a:extLst>
            <a:ext uri="{FF2B5EF4-FFF2-40B4-BE49-F238E27FC236}">
              <a16:creationId xmlns:a16="http://schemas.microsoft.com/office/drawing/2014/main" id="{B5EDDED6-4F04-729D-4CFC-658F7FE26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93040" y="1005840"/>
          <a:ext cx="457200" cy="457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2334119</xdr:colOff>
      <xdr:row>0</xdr:row>
      <xdr:rowOff>185953</xdr:rowOff>
    </xdr:from>
    <xdr:to>
      <xdr:col>1</xdr:col>
      <xdr:colOff>2694119</xdr:colOff>
      <xdr:row>0</xdr:row>
      <xdr:rowOff>545953</xdr:rowOff>
    </xdr:to>
    <xdr:pic macro="[0]!lsLigarTelaCheia">
      <xdr:nvPicPr>
        <xdr:cNvPr id="3" name="Imagem 2">
          <a:extLst>
            <a:ext uri="{FF2B5EF4-FFF2-40B4-BE49-F238E27FC236}">
              <a16:creationId xmlns:a16="http://schemas.microsoft.com/office/drawing/2014/main" id="{4D015E28-91B7-4610-B3E2-19BB51AA4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3719" y="18595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1676400</xdr:colOff>
      <xdr:row>0</xdr:row>
      <xdr:rowOff>175260</xdr:rowOff>
    </xdr:from>
    <xdr:to>
      <xdr:col>1</xdr:col>
      <xdr:colOff>2036400</xdr:colOff>
      <xdr:row>0</xdr:row>
      <xdr:rowOff>535260</xdr:rowOff>
    </xdr:to>
    <xdr:pic macro="[0]!lsDesligarTelaCheia">
      <xdr:nvPicPr>
        <xdr:cNvPr id="4" name="Imagem 3">
          <a:extLst>
            <a:ext uri="{FF2B5EF4-FFF2-40B4-BE49-F238E27FC236}">
              <a16:creationId xmlns:a16="http://schemas.microsoft.com/office/drawing/2014/main" id="{B75C51C9-0042-45FF-B370-C93A0252B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220980</xdr:colOff>
      <xdr:row>0</xdr:row>
      <xdr:rowOff>152400</xdr:rowOff>
    </xdr:from>
    <xdr:to>
      <xdr:col>0</xdr:col>
      <xdr:colOff>580980</xdr:colOff>
      <xdr:row>0</xdr:row>
      <xdr:rowOff>512400</xdr:rowOff>
    </xdr:to>
    <xdr:pic>
      <xdr:nvPicPr>
        <xdr:cNvPr id="8" name="Imagem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4870E9E-6A88-D850-62A2-8F2B517B1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524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121920</xdr:colOff>
      <xdr:row>0</xdr:row>
      <xdr:rowOff>160020</xdr:rowOff>
    </xdr:from>
    <xdr:to>
      <xdr:col>12</xdr:col>
      <xdr:colOff>481920</xdr:colOff>
      <xdr:row>0</xdr:row>
      <xdr:rowOff>520020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1D840C9A-81B1-481B-8448-0458D3B69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2640" y="160020"/>
          <a:ext cx="360000" cy="36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421499</xdr:colOff>
      <xdr:row>0</xdr:row>
      <xdr:rowOff>201193</xdr:rowOff>
    </xdr:from>
    <xdr:to>
      <xdr:col>3</xdr:col>
      <xdr:colOff>781499</xdr:colOff>
      <xdr:row>0</xdr:row>
      <xdr:rowOff>561193</xdr:rowOff>
    </xdr:to>
    <xdr:pic macro="[0]!lsLigarTelaCheia">
      <xdr:nvPicPr>
        <xdr:cNvPr id="6" name="Imagem 5">
          <a:extLst>
            <a:ext uri="{FF2B5EF4-FFF2-40B4-BE49-F238E27FC236}">
              <a16:creationId xmlns:a16="http://schemas.microsoft.com/office/drawing/2014/main" id="{A3EADAC6-559B-42CB-B914-6E5A72D2D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3219" y="20119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190500</xdr:rowOff>
    </xdr:from>
    <xdr:to>
      <xdr:col>3</xdr:col>
      <xdr:colOff>70440</xdr:colOff>
      <xdr:row>0</xdr:row>
      <xdr:rowOff>550500</xdr:rowOff>
    </xdr:to>
    <xdr:pic macro="[0]!lsDesligarTelaCheia">
      <xdr:nvPicPr>
        <xdr:cNvPr id="7" name="Imagem 6">
          <a:extLst>
            <a:ext uri="{FF2B5EF4-FFF2-40B4-BE49-F238E27FC236}">
              <a16:creationId xmlns:a16="http://schemas.microsoft.com/office/drawing/2014/main" id="{B8CA453C-5C1D-4A0B-A6AC-4EB253D4E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8380" y="1905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144780</xdr:rowOff>
    </xdr:from>
    <xdr:to>
      <xdr:col>1</xdr:col>
      <xdr:colOff>230460</xdr:colOff>
      <xdr:row>0</xdr:row>
      <xdr:rowOff>504780</xdr:rowOff>
    </xdr:to>
    <xdr:pic>
      <xdr:nvPicPr>
        <xdr:cNvPr id="5" name="Imagem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6CEEB8B-7607-4813-AD6A-87E3CEC1E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447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739140</xdr:colOff>
      <xdr:row>0</xdr:row>
      <xdr:rowOff>137160</xdr:rowOff>
    </xdr:from>
    <xdr:to>
      <xdr:col>8</xdr:col>
      <xdr:colOff>1099140</xdr:colOff>
      <xdr:row>0</xdr:row>
      <xdr:rowOff>497160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C1987E6B-174E-4BEE-B1F7-B9F81D13B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1180" y="137160"/>
          <a:ext cx="360000" cy="36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1</xdr:row>
      <xdr:rowOff>129540</xdr:rowOff>
    </xdr:from>
    <xdr:to>
      <xdr:col>10</xdr:col>
      <xdr:colOff>548640</xdr:colOff>
      <xdr:row>35</xdr:row>
      <xdr:rowOff>60960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856AD4-598E-469B-B3A1-EEED4F8AD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182880</xdr:colOff>
      <xdr:row>0</xdr:row>
      <xdr:rowOff>83820</xdr:rowOff>
    </xdr:from>
    <xdr:to>
      <xdr:col>1</xdr:col>
      <xdr:colOff>60960</xdr:colOff>
      <xdr:row>0</xdr:row>
      <xdr:rowOff>575055</xdr:rowOff>
    </xdr:to>
    <xdr:pic>
      <xdr:nvPicPr>
        <xdr:cNvPr id="6" name="Imagem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D161F8-CC2C-4990-856C-488862332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83820"/>
          <a:ext cx="487680" cy="491235"/>
        </a:xfrm>
        <a:prstGeom prst="rect">
          <a:avLst/>
        </a:prstGeom>
      </xdr:spPr>
    </xdr:pic>
    <xdr:clientData/>
  </xdr:twoCellAnchor>
  <xdr:twoCellAnchor editAs="oneCell">
    <xdr:from>
      <xdr:col>13</xdr:col>
      <xdr:colOff>388620</xdr:colOff>
      <xdr:row>0</xdr:row>
      <xdr:rowOff>129540</xdr:rowOff>
    </xdr:from>
    <xdr:to>
      <xdr:col>14</xdr:col>
      <xdr:colOff>185323</xdr:colOff>
      <xdr:row>0</xdr:row>
      <xdr:rowOff>548640</xdr:rowOff>
    </xdr:to>
    <xdr:pic macro="[0]!Fechar_planilha_Salvar">
      <xdr:nvPicPr>
        <xdr:cNvPr id="8" name="Imagem 7">
          <a:extLst>
            <a:ext uri="{FF2B5EF4-FFF2-40B4-BE49-F238E27FC236}">
              <a16:creationId xmlns:a16="http://schemas.microsoft.com/office/drawing/2014/main" id="{4ABCE641-044E-4399-B5DE-AEECCC60E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3420" y="129540"/>
          <a:ext cx="406303" cy="419100"/>
        </a:xfrm>
        <a:prstGeom prst="rect">
          <a:avLst/>
        </a:prstGeom>
      </xdr:spPr>
    </xdr:pic>
    <xdr:clientData/>
  </xdr:twoCellAnchor>
  <xdr:twoCellAnchor editAs="oneCell">
    <xdr:from>
      <xdr:col>4</xdr:col>
      <xdr:colOff>25259</xdr:colOff>
      <xdr:row>0</xdr:row>
      <xdr:rowOff>170713</xdr:rowOff>
    </xdr:from>
    <xdr:to>
      <xdr:col>4</xdr:col>
      <xdr:colOff>385259</xdr:colOff>
      <xdr:row>0</xdr:row>
      <xdr:rowOff>530713</xdr:rowOff>
    </xdr:to>
    <xdr:pic macro="[0]!lsLigarTelaCheia">
      <xdr:nvPicPr>
        <xdr:cNvPr id="9" name="Imagem 8">
          <a:extLst>
            <a:ext uri="{FF2B5EF4-FFF2-40B4-BE49-F238E27FC236}">
              <a16:creationId xmlns:a16="http://schemas.microsoft.com/office/drawing/2014/main" id="{B24C444F-7FED-4A1E-9FC1-ED7ADA4BC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3659" y="17071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160020</xdr:rowOff>
    </xdr:from>
    <xdr:to>
      <xdr:col>3</xdr:col>
      <xdr:colOff>337140</xdr:colOff>
      <xdr:row>0</xdr:row>
      <xdr:rowOff>520020</xdr:rowOff>
    </xdr:to>
    <xdr:pic macro="[0]!lsDesligarTelaCheia">
      <xdr:nvPicPr>
        <xdr:cNvPr id="10" name="Imagem 9">
          <a:extLst>
            <a:ext uri="{FF2B5EF4-FFF2-40B4-BE49-F238E27FC236}">
              <a16:creationId xmlns:a16="http://schemas.microsoft.com/office/drawing/2014/main" id="{3E505533-E62D-40B1-9CA3-B77025D8A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5940" y="160020"/>
          <a:ext cx="360000" cy="360000"/>
        </a:xfrm>
        <a:prstGeom prst="rect">
          <a:avLst/>
        </a:prstGeom>
      </xdr:spPr>
    </xdr:pic>
    <xdr:clientData/>
  </xdr:twoCellAnchor>
  <xdr:twoCellAnchor>
    <xdr:from>
      <xdr:col>11</xdr:col>
      <xdr:colOff>22860</xdr:colOff>
      <xdr:row>1</xdr:row>
      <xdr:rowOff>118111</xdr:rowOff>
    </xdr:from>
    <xdr:to>
      <xdr:col>23</xdr:col>
      <xdr:colOff>15240</xdr:colOff>
      <xdr:row>35</xdr:row>
      <xdr:rowOff>53341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3914FB-D8D9-4A7C-811D-5F8388332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179E74-48E2-4AB2-B030-DEF57A608A5B}" name="Tabela3" displayName="Tabela3" ref="A2:AH11" totalsRowShown="0" headerRowDxfId="62" dataDxfId="61" tableBorderDxfId="60">
  <autoFilter ref="A2:AH11" xr:uid="{FB179E74-48E2-4AB2-B030-DEF57A608A5B}"/>
  <tableColumns count="34">
    <tableColumn id="1" xr3:uid="{F1278FE0-D38A-4E18-8A13-0E2D8B64E41A}" name="ID" dataDxfId="59"/>
    <tableColumn id="2" xr3:uid="{44739461-CBC6-4DCA-8080-29A96E07DCB7}" name="NOME COMPLETO" dataDxfId="58"/>
    <tableColumn id="3" xr3:uid="{4A1AC2FC-6986-4D23-95D6-50547B4E9559}" name="O/S" dataDxfId="57"/>
    <tableColumn id="4" xr3:uid="{AF002364-F5B2-4649-A6BC-13107C53F2BD}" name="TELEFONE FIXO" dataDxfId="56"/>
    <tableColumn id="5" xr3:uid="{5136E472-DC36-4EE6-8C51-C86F253871AA}" name="CELULAR" dataDxfId="55"/>
    <tableColumn id="6" xr3:uid="{56DFE2F9-D9D2-4A03-93B9-D2108C2328B4}" name="CPF" dataDxfId="54"/>
    <tableColumn id="30" xr3:uid="{2CFA0DB4-78DA-4CB4-96A9-9ADEB4E9CC7D}" name="CEP" dataDxfId="53"/>
    <tableColumn id="7" xr3:uid="{1866E312-5AE0-4B0B-B19D-0CB7E6B933DE}" name="ENDEREÇO" dataDxfId="52"/>
    <tableColumn id="31" xr3:uid="{32FCD692-AC90-424C-B36F-B411B10EA7BA}" name="COMPLEMENTO" dataDxfId="51"/>
    <tableColumn id="32" xr3:uid="{CDAB0E2F-22F6-4C87-89ED-95DD7C71EBB4}" name="BAIRRO" dataDxfId="50"/>
    <tableColumn id="33" xr3:uid="{AE28BEF3-0E2E-4347-8B10-3C28EC58E28A}" name="LOCALIDADE" dataDxfId="49"/>
    <tableColumn id="34" xr3:uid="{B34E3DAF-4A42-4293-AE45-7284DCF62A1E}" name="UF" dataDxfId="48"/>
    <tableColumn id="8" xr3:uid="{0F4D5A2C-9E4E-4174-9B22-91C6A0DDF61A}" name="OBSERVAÇÃO" dataDxfId="47"/>
    <tableColumn id="9" xr3:uid="{EACE3EBD-CF4B-4FF8-BE2E-4338E3F79AE6}" name="DATA" dataDxfId="46"/>
    <tableColumn id="10" xr3:uid="{81E1C5CC-E8B6-4439-B086-AF3A3E81AD63}" name="OD-ESF" dataDxfId="45"/>
    <tableColumn id="11" xr3:uid="{96976A99-8ADB-4542-BE08-CD7FCDFCDB1B}" name="OD-SIL" dataDxfId="44"/>
    <tableColumn id="12" xr3:uid="{20B3F4FE-8DC5-410A-865D-50918D12836C}" name="OD-EIXO" dataDxfId="43"/>
    <tableColumn id="13" xr3:uid="{5BF0B2DB-486A-4A1D-A58C-5770377B093C}" name="OD-DNP" dataDxfId="42"/>
    <tableColumn id="14" xr3:uid="{84776810-8B50-4301-9303-B014C66A3653}" name="OD-ADIÇÃO" dataDxfId="41"/>
    <tableColumn id="15" xr3:uid="{60BA2D29-180A-4557-A87F-9A9819713BC1}" name="OD-ALTURA" dataDxfId="40"/>
    <tableColumn id="16" xr3:uid="{00084C2D-508F-40C8-8C10-8EB98C0FEEC9}" name="ED-ESF" dataDxfId="39"/>
    <tableColumn id="17" xr3:uid="{2C272586-CA72-46CB-BA36-7E1092EF12B3}" name="ED-SIL" dataDxfId="38"/>
    <tableColumn id="18" xr3:uid="{0BE5D9DD-04F9-4BBB-99CC-269B4DB9019D}" name="ED-EIXO" dataDxfId="37"/>
    <tableColumn id="19" xr3:uid="{3FFBEA31-F658-4FD3-A480-CC3DD145A9EF}" name="ED-DNP" dataDxfId="36"/>
    <tableColumn id="20" xr3:uid="{E908D2F4-4BA2-432C-9F0E-E75039BF2894}" name="ED-ADIÇÃO" dataDxfId="35"/>
    <tableColumn id="21" xr3:uid="{ECF38DDD-7946-44CC-B0D2-85000C112291}" name="ED-ALTURA" dataDxfId="34"/>
    <tableColumn id="22" xr3:uid="{051C54D0-F2D9-438E-9FF9-3BF0FCE52E9D}" name="OD-ESF2" dataDxfId="33"/>
    <tableColumn id="23" xr3:uid="{8C15F573-94E5-4874-B11D-ABF2583BEDDF}" name="OD-SIL3" dataDxfId="32"/>
    <tableColumn id="24" xr3:uid="{79AF13A8-4622-4020-90E4-35CB5546C7EC}" name="OD-EIXO4" dataDxfId="31"/>
    <tableColumn id="25" xr3:uid="{638A6A1C-2BAF-4FBF-BD5E-9D788A5BEF44}" name="OD-ALTURA5" dataDxfId="30"/>
    <tableColumn id="26" xr3:uid="{E58475FA-D630-49D8-BF83-B6C6357AFD5D}" name="OE-ESF" dataDxfId="29"/>
    <tableColumn id="27" xr3:uid="{B2E859C6-395D-4AAA-A643-AB5B493B27EC}" name="OE-SIL" dataDxfId="28"/>
    <tableColumn id="28" xr3:uid="{6256CDB5-0F01-4D3B-AAC5-B25BD56E37EC}" name="OE-EIXO" dataDxfId="27"/>
    <tableColumn id="29" xr3:uid="{20F71700-8874-4746-980B-D75DACBD3DA9}" name="OE-ALTURA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05D7B3-B7FE-437A-BEE3-F030AF3D0228}" name="Tabela4" displayName="Tabela4" ref="A2:U11" totalsRowShown="0" headerRowDxfId="25" dataDxfId="23" headerRowBorderDxfId="24" tableBorderDxfId="22" totalsRowBorderDxfId="21">
  <autoFilter ref="A2:U11" xr:uid="{0905D7B3-B7FE-437A-BEE3-F030AF3D0228}"/>
  <tableColumns count="21">
    <tableColumn id="1" xr3:uid="{B3D09159-866F-4C86-8CFB-777F6B944203}" name="ID" dataDxfId="20"/>
    <tableColumn id="2" xr3:uid="{B5AD712A-2A4B-487E-9C0F-4C96F40F3D92}" name="NF" dataDxfId="19"/>
    <tableColumn id="3" xr3:uid="{A5332774-5E6B-4582-9EBD-F0168FC79273}" name="O/S" dataDxfId="18"/>
    <tableColumn id="4" xr3:uid="{E9F96972-F64C-4737-B4DB-1C78867F11CC}" name="NOME" dataDxfId="17"/>
    <tableColumn id="5" xr3:uid="{025D78F5-81A0-411D-B548-E74CA9B7C859}" name="TIPO LENTE" dataDxfId="16"/>
    <tableColumn id="6" xr3:uid="{2EE7659C-AD70-4885-89A7-6378DE5067EA}" name="DESCRIÇÃO" dataDxfId="15"/>
    <tableColumn id="7" xr3:uid="{8BB3D8D9-0D81-47B0-9CB0-4B792590BCAC}" name="QT" dataDxfId="14"/>
    <tableColumn id="9" xr3:uid="{602DACDE-80C3-4966-B7B9-45032123D33F}" name="F/P" dataDxfId="13"/>
    <tableColumn id="20" xr3:uid="{7CF1AD86-C324-4EAE-8A18-21172BA9626B}" name="DATA" dataDxfId="12"/>
    <tableColumn id="10" xr3:uid="{C1AEC5B2-A64A-48C9-8062-E193CFFD20C3}" name="MONTAGEM" dataDxfId="11"/>
    <tableColumn id="11" xr3:uid="{943CB7CB-FD41-4204-8C39-7E221E24F742}" name="ARMAÇÃO" dataDxfId="10"/>
    <tableColumn id="12" xr3:uid="{17DC4164-7EB7-475B-82B3-B1F2AC58D92D}" name="CAIXINHA/SPRAY" dataDxfId="9"/>
    <tableColumn id="13" xr3:uid="{F65F097F-55B0-4E55-ACCB-6BC34E982B3E}" name="LENTE" dataDxfId="8"/>
    <tableColumn id="19" xr3:uid="{3AB03C89-404E-41DE-9E1B-117884C7B846}" name="TAXA" dataDxfId="7">
      <calculatedColumnFormula>IF(N3=0,0)</calculatedColumnFormula>
    </tableColumn>
    <tableColumn id="18" xr3:uid="{ECE9330F-23CC-4281-9283-553A77EFC171}" name="TOTAL CUSTO" dataDxfId="6">
      <calculatedColumnFormula>Tabela4[[#This Row],[MONTAGEM]]+Tabela4[[#This Row],[ARMAÇÃO]]+Tabela4[[#This Row],[CAIXINHA/SPRAY]]+Tabela4[[#This Row],[LENTE]]+Tabela4[[#This Row],[TAXA]]</calculatedColumnFormula>
    </tableColumn>
    <tableColumn id="22" xr3:uid="{B4FE8C34-491F-4AE2-AF44-E5A40AC3B06B}" name="VALOR VENDA" dataDxfId="5"/>
    <tableColumn id="14" xr3:uid="{6125DDAC-086F-40FC-A435-903F9F431D87}" name="SINAL" dataDxfId="4">
      <calculatedColumnFormula>IF(Q3=0,0)</calculatedColumnFormula>
    </tableColumn>
    <tableColumn id="16" xr3:uid="{A223BEDC-083E-462B-A406-5946C7EA20A4}" name="RESTANTE" dataDxfId="3">
      <calculatedColumnFormula>IF(Tabela4[[#This Row],[SINAL]]=0,0,Tabela4[[#This Row],[VALOR VENDA]]-Tabela4[[#This Row],[SINAL]])</calculatedColumnFormula>
    </tableColumn>
    <tableColumn id="23" xr3:uid="{9600C494-0EDE-461E-899A-D28F05663603}" name="CAIXA" dataDxfId="2">
      <calculatedColumnFormula>Tabela4[[#This Row],[VALOR VENDA]]-Tabela4[[#This Row],[TAXA]]</calculatedColumnFormula>
    </tableColumn>
    <tableColumn id="15" xr3:uid="{2D334E11-AFDE-4BD2-ADEA-3DAF30F48583}" name="LUCRO" dataDxfId="1">
      <calculatedColumnFormula>Tabela4[[#This Row],[QT]]*Tabela4[[#This Row],[VALOR VENDA]]-Tabela4[[#This Row],[TOTAL CUSTO]]</calculatedColumnFormula>
    </tableColumn>
    <tableColumn id="17" xr3:uid="{F1F51FB2-7426-41B0-9C94-BBA4EAAAE3A1}" name="LUCRO/%" dataDxfId="0">
      <calculatedColumnFormula>IF(O3=0,0,Tabela4[[#This Row],[LUCRO]]/Tabela4[[#This Row],[TOTAL CUSTO]])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V23"/>
  <sheetViews>
    <sheetView showGridLines="0" showRowColHeaders="0" zoomScaleNormal="100" workbookViewId="0">
      <selection activeCell="I29" sqref="I29"/>
    </sheetView>
  </sheetViews>
  <sheetFormatPr defaultColWidth="8.88671875" defaultRowHeight="14.4" x14ac:dyDescent="0.3"/>
  <cols>
    <col min="1" max="16384" width="8.88671875" style="32"/>
  </cols>
  <sheetData>
    <row r="1" spans="1:22" ht="70.2" customHeight="1" x14ac:dyDescent="0.3">
      <c r="A1" s="88" t="s">
        <v>45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</row>
    <row r="2" spans="1:22" x14ac:dyDescent="0.3">
      <c r="A2" s="33"/>
      <c r="V2" s="34"/>
    </row>
    <row r="3" spans="1:22" x14ac:dyDescent="0.3">
      <c r="A3" s="33"/>
      <c r="V3" s="34"/>
    </row>
    <row r="4" spans="1:22" x14ac:dyDescent="0.3">
      <c r="A4" s="33"/>
      <c r="V4" s="34"/>
    </row>
    <row r="5" spans="1:22" x14ac:dyDescent="0.3">
      <c r="A5" s="33"/>
      <c r="V5" s="34"/>
    </row>
    <row r="6" spans="1:22" x14ac:dyDescent="0.3">
      <c r="A6" s="33"/>
      <c r="V6" s="34"/>
    </row>
    <row r="7" spans="1:22" x14ac:dyDescent="0.3">
      <c r="A7" s="33"/>
      <c r="V7" s="34"/>
    </row>
    <row r="8" spans="1:22" x14ac:dyDescent="0.3">
      <c r="A8" s="33"/>
      <c r="V8" s="34"/>
    </row>
    <row r="9" spans="1:22" x14ac:dyDescent="0.3">
      <c r="A9" s="33"/>
      <c r="V9" s="34"/>
    </row>
    <row r="10" spans="1:22" x14ac:dyDescent="0.3">
      <c r="A10" s="33"/>
      <c r="V10" s="34"/>
    </row>
    <row r="11" spans="1:22" x14ac:dyDescent="0.3">
      <c r="A11" s="33"/>
      <c r="V11" s="34"/>
    </row>
    <row r="12" spans="1:22" x14ac:dyDescent="0.3">
      <c r="A12" s="33"/>
      <c r="V12" s="34"/>
    </row>
    <row r="13" spans="1:22" x14ac:dyDescent="0.3">
      <c r="A13" s="33"/>
      <c r="V13" s="34"/>
    </row>
    <row r="14" spans="1:22" x14ac:dyDescent="0.3">
      <c r="A14" s="33"/>
      <c r="I14" s="11"/>
      <c r="V14" s="34"/>
    </row>
    <row r="15" spans="1:22" x14ac:dyDescent="0.3">
      <c r="A15" s="33"/>
      <c r="V15" s="34"/>
    </row>
    <row r="16" spans="1:22" x14ac:dyDescent="0.3">
      <c r="A16" s="33"/>
      <c r="V16" s="34"/>
    </row>
    <row r="17" spans="1:22" x14ac:dyDescent="0.3">
      <c r="A17" s="33"/>
      <c r="V17" s="34"/>
    </row>
    <row r="18" spans="1:22" x14ac:dyDescent="0.3">
      <c r="A18" s="33"/>
      <c r="V18" s="34"/>
    </row>
    <row r="19" spans="1:22" x14ac:dyDescent="0.3">
      <c r="A19" s="33"/>
      <c r="V19" s="34"/>
    </row>
    <row r="20" spans="1:22" x14ac:dyDescent="0.3">
      <c r="A20" s="33"/>
      <c r="V20" s="34"/>
    </row>
    <row r="21" spans="1:22" x14ac:dyDescent="0.3">
      <c r="A21" s="33"/>
      <c r="V21" s="34"/>
    </row>
    <row r="22" spans="1:22" x14ac:dyDescent="0.3">
      <c r="A22" s="35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7"/>
    </row>
    <row r="23" spans="1:22" ht="40.200000000000003" customHeight="1" x14ac:dyDescent="0.3">
      <c r="A23" s="89" t="s">
        <v>42</v>
      </c>
      <c r="B23" s="89"/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</row>
  </sheetData>
  <mergeCells count="2">
    <mergeCell ref="A1:V1"/>
    <mergeCell ref="A23:V2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1CEFC-3457-4418-9214-1EF2490EF15B}">
  <sheetPr codeName="Planilha7"/>
  <dimension ref="A1:AJ11"/>
  <sheetViews>
    <sheetView showGridLines="0" showRowColHeaders="0" workbookViewId="0">
      <pane ySplit="2" topLeftCell="A3" activePane="bottomLeft" state="frozen"/>
      <selection pane="bottomLeft"/>
    </sheetView>
  </sheetViews>
  <sheetFormatPr defaultColWidth="8.88671875" defaultRowHeight="14.4" x14ac:dyDescent="0.3"/>
  <cols>
    <col min="1" max="1" width="8.88671875" style="1"/>
    <col min="2" max="2" width="40.6640625" style="1" customWidth="1"/>
    <col min="3" max="3" width="17.44140625" style="85" customWidth="1"/>
    <col min="4" max="5" width="25.6640625" style="1" customWidth="1"/>
    <col min="6" max="6" width="26.33203125" style="1" customWidth="1"/>
    <col min="7" max="7" width="21" style="85" customWidth="1"/>
    <col min="8" max="8" width="50.6640625" style="1" customWidth="1"/>
    <col min="9" max="10" width="25.77734375" style="1" customWidth="1"/>
    <col min="11" max="11" width="19.21875" style="1" bestFit="1" customWidth="1"/>
    <col min="12" max="12" width="12.21875" style="1" customWidth="1"/>
    <col min="13" max="13" width="54" style="1" bestFit="1" customWidth="1"/>
    <col min="14" max="14" width="22.109375" style="6" customWidth="1"/>
    <col min="15" max="29" width="15.6640625" style="7" customWidth="1"/>
    <col min="30" max="30" width="17" style="7" customWidth="1"/>
    <col min="31" max="34" width="15.6640625" style="7" customWidth="1"/>
    <col min="35" max="35" width="2.88671875" style="1" customWidth="1"/>
    <col min="36" max="16384" width="8.88671875" style="1"/>
  </cols>
  <sheetData>
    <row r="1" spans="1:36" s="11" customFormat="1" ht="49.95" customHeight="1" x14ac:dyDescent="0.3">
      <c r="A1" s="12"/>
      <c r="B1" s="12"/>
      <c r="C1" s="82"/>
      <c r="D1" s="12"/>
      <c r="E1" s="90" t="s">
        <v>43</v>
      </c>
      <c r="F1" s="91"/>
      <c r="G1" s="91"/>
      <c r="H1" s="91"/>
      <c r="I1" s="19"/>
      <c r="J1" s="19"/>
      <c r="K1" s="19"/>
      <c r="L1" s="19"/>
      <c r="M1" s="12"/>
      <c r="N1" s="81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J1" s="14" t="s">
        <v>28</v>
      </c>
    </row>
    <row r="2" spans="1:36" s="25" customFormat="1" ht="18" x14ac:dyDescent="0.3">
      <c r="A2" s="20" t="s">
        <v>28</v>
      </c>
      <c r="B2" s="21" t="s">
        <v>1</v>
      </c>
      <c r="C2" s="83" t="s">
        <v>6</v>
      </c>
      <c r="D2" s="21" t="s">
        <v>7</v>
      </c>
      <c r="E2" s="21" t="s">
        <v>2</v>
      </c>
      <c r="F2" s="21" t="s">
        <v>3</v>
      </c>
      <c r="G2" s="83" t="s">
        <v>114</v>
      </c>
      <c r="H2" s="21" t="s">
        <v>4</v>
      </c>
      <c r="I2" s="21" t="s">
        <v>115</v>
      </c>
      <c r="J2" s="21" t="s">
        <v>116</v>
      </c>
      <c r="K2" s="21" t="s">
        <v>117</v>
      </c>
      <c r="L2" s="21" t="s">
        <v>118</v>
      </c>
      <c r="M2" s="21" t="s">
        <v>5</v>
      </c>
      <c r="N2" s="22" t="s">
        <v>0</v>
      </c>
      <c r="O2" s="23" t="s">
        <v>8</v>
      </c>
      <c r="P2" s="23" t="s">
        <v>9</v>
      </c>
      <c r="Q2" s="23" t="s">
        <v>10</v>
      </c>
      <c r="R2" s="23" t="s">
        <v>11</v>
      </c>
      <c r="S2" s="23" t="s">
        <v>12</v>
      </c>
      <c r="T2" s="23" t="s">
        <v>13</v>
      </c>
      <c r="U2" s="23" t="s">
        <v>14</v>
      </c>
      <c r="V2" s="23" t="s">
        <v>15</v>
      </c>
      <c r="W2" s="23" t="s">
        <v>16</v>
      </c>
      <c r="X2" s="23" t="s">
        <v>17</v>
      </c>
      <c r="Y2" s="23" t="s">
        <v>18</v>
      </c>
      <c r="Z2" s="23" t="s">
        <v>19</v>
      </c>
      <c r="AA2" s="23" t="s">
        <v>24</v>
      </c>
      <c r="AB2" s="23" t="s">
        <v>25</v>
      </c>
      <c r="AC2" s="23" t="s">
        <v>26</v>
      </c>
      <c r="AD2" s="23" t="s">
        <v>27</v>
      </c>
      <c r="AE2" s="23" t="s">
        <v>20</v>
      </c>
      <c r="AF2" s="23" t="s">
        <v>21</v>
      </c>
      <c r="AG2" s="23" t="s">
        <v>22</v>
      </c>
      <c r="AH2" s="23" t="s">
        <v>23</v>
      </c>
      <c r="AI2" s="24"/>
      <c r="AJ2" s="9">
        <v>8</v>
      </c>
    </row>
    <row r="3" spans="1:36" s="25" customFormat="1" ht="18" x14ac:dyDescent="0.3">
      <c r="A3" s="20"/>
      <c r="B3" s="21"/>
      <c r="C3" s="83"/>
      <c r="D3" s="21"/>
      <c r="E3" s="21"/>
      <c r="F3" s="21"/>
      <c r="G3" s="83"/>
      <c r="H3" s="21"/>
      <c r="I3" s="21"/>
      <c r="J3" s="21"/>
      <c r="K3" s="21"/>
      <c r="L3" s="21"/>
      <c r="M3" s="21"/>
      <c r="N3" s="22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79"/>
      <c r="AJ3" s="78"/>
    </row>
    <row r="4" spans="1:36" x14ac:dyDescent="0.3">
      <c r="A4" s="3">
        <v>1</v>
      </c>
      <c r="B4" s="4" t="s">
        <v>51</v>
      </c>
      <c r="C4" s="84" t="s">
        <v>62</v>
      </c>
      <c r="D4" s="4"/>
      <c r="E4" s="4">
        <v>11996773063</v>
      </c>
      <c r="F4" s="4"/>
      <c r="G4" s="84"/>
      <c r="H4" s="4"/>
      <c r="I4" s="4"/>
      <c r="J4" s="4"/>
      <c r="K4" s="4"/>
      <c r="L4" s="4"/>
      <c r="M4" s="4" t="s">
        <v>89</v>
      </c>
      <c r="N4" s="5">
        <v>45261</v>
      </c>
      <c r="O4" s="8" t="s">
        <v>52</v>
      </c>
      <c r="P4" s="8" t="s">
        <v>53</v>
      </c>
      <c r="Q4" s="8">
        <v>10</v>
      </c>
      <c r="R4" s="8">
        <v>32</v>
      </c>
      <c r="S4" s="8" t="s">
        <v>54</v>
      </c>
      <c r="T4" s="8">
        <v>20</v>
      </c>
      <c r="U4" s="8" t="s">
        <v>55</v>
      </c>
      <c r="V4" s="8" t="s">
        <v>56</v>
      </c>
      <c r="W4" s="8">
        <v>170</v>
      </c>
      <c r="X4" s="8">
        <v>32</v>
      </c>
      <c r="Y4" s="8" t="s">
        <v>54</v>
      </c>
      <c r="Z4" s="8">
        <v>20</v>
      </c>
      <c r="AA4" s="8" t="s">
        <v>57</v>
      </c>
      <c r="AB4" s="8" t="s">
        <v>53</v>
      </c>
      <c r="AC4" s="8">
        <v>10</v>
      </c>
      <c r="AD4" s="8">
        <v>32</v>
      </c>
      <c r="AE4" s="8" t="s">
        <v>58</v>
      </c>
      <c r="AF4" s="8" t="s">
        <v>56</v>
      </c>
      <c r="AG4" s="8">
        <v>170</v>
      </c>
      <c r="AH4" s="8">
        <v>32</v>
      </c>
      <c r="AI4" s="46"/>
    </row>
    <row r="5" spans="1:36" x14ac:dyDescent="0.3">
      <c r="A5" s="3">
        <v>2</v>
      </c>
      <c r="B5" s="4" t="s">
        <v>63</v>
      </c>
      <c r="C5" s="84">
        <v>35</v>
      </c>
      <c r="D5" s="4"/>
      <c r="E5" s="4">
        <v>11941875014</v>
      </c>
      <c r="F5" s="4"/>
      <c r="G5" s="84"/>
      <c r="H5" s="4"/>
      <c r="I5" s="4"/>
      <c r="J5" s="4"/>
      <c r="K5" s="4"/>
      <c r="L5" s="4"/>
      <c r="M5" s="4" t="s">
        <v>71</v>
      </c>
      <c r="N5" s="5" t="s">
        <v>64</v>
      </c>
      <c r="O5" s="8">
        <v>0</v>
      </c>
      <c r="P5" s="8">
        <v>0</v>
      </c>
      <c r="Q5" s="8">
        <v>0</v>
      </c>
      <c r="R5" s="8"/>
      <c r="S5" s="8">
        <v>0</v>
      </c>
      <c r="T5" s="8">
        <v>0</v>
      </c>
      <c r="U5" s="8">
        <v>0</v>
      </c>
      <c r="V5" s="8">
        <v>0</v>
      </c>
      <c r="W5" s="8">
        <v>0</v>
      </c>
      <c r="X5" s="8"/>
      <c r="Y5" s="8">
        <v>0</v>
      </c>
      <c r="Z5" s="8">
        <v>0</v>
      </c>
      <c r="AA5" s="8">
        <v>0</v>
      </c>
      <c r="AB5" s="8">
        <v>0</v>
      </c>
      <c r="AC5" s="8">
        <v>0</v>
      </c>
      <c r="AD5" s="8">
        <v>0</v>
      </c>
      <c r="AE5" s="8">
        <v>0</v>
      </c>
      <c r="AF5" s="8">
        <v>0</v>
      </c>
      <c r="AG5" s="8">
        <v>0</v>
      </c>
      <c r="AH5" s="8">
        <v>0</v>
      </c>
    </row>
    <row r="6" spans="1:36" x14ac:dyDescent="0.3">
      <c r="A6" s="3">
        <v>3</v>
      </c>
      <c r="B6" s="4" t="s">
        <v>67</v>
      </c>
      <c r="C6" s="84">
        <v>36</v>
      </c>
      <c r="D6" s="4"/>
      <c r="E6" s="4">
        <v>11974661323</v>
      </c>
      <c r="F6" s="4"/>
      <c r="G6" s="84"/>
      <c r="H6" s="4"/>
      <c r="I6" s="4"/>
      <c r="J6" s="4"/>
      <c r="K6" s="4"/>
      <c r="L6" s="4"/>
      <c r="M6" s="4" t="s">
        <v>72</v>
      </c>
      <c r="N6" s="5" t="s">
        <v>68</v>
      </c>
      <c r="O6" s="8" t="s">
        <v>69</v>
      </c>
      <c r="P6" s="8">
        <v>0</v>
      </c>
      <c r="Q6" s="8">
        <v>0</v>
      </c>
      <c r="R6" s="8">
        <v>30</v>
      </c>
      <c r="S6" s="8">
        <v>0</v>
      </c>
      <c r="T6" s="8">
        <v>0</v>
      </c>
      <c r="U6" s="8" t="s">
        <v>69</v>
      </c>
      <c r="V6" s="8">
        <v>0</v>
      </c>
      <c r="W6" s="8">
        <v>0</v>
      </c>
      <c r="X6" s="8">
        <v>29.5</v>
      </c>
      <c r="Y6" s="8">
        <v>0</v>
      </c>
      <c r="Z6" s="8">
        <v>0</v>
      </c>
      <c r="AA6" s="8">
        <v>0</v>
      </c>
      <c r="AB6" s="8">
        <v>0</v>
      </c>
      <c r="AC6" s="8">
        <v>0</v>
      </c>
      <c r="AD6" s="8">
        <v>0</v>
      </c>
      <c r="AE6" s="8">
        <v>0</v>
      </c>
      <c r="AF6" s="8">
        <v>0</v>
      </c>
      <c r="AG6" s="8">
        <v>0</v>
      </c>
      <c r="AH6" s="8">
        <v>0</v>
      </c>
    </row>
    <row r="7" spans="1:36" x14ac:dyDescent="0.3">
      <c r="A7" s="3">
        <v>4</v>
      </c>
      <c r="B7" s="4" t="s">
        <v>73</v>
      </c>
      <c r="C7" s="84">
        <v>37</v>
      </c>
      <c r="D7" s="4"/>
      <c r="E7" s="4">
        <v>11941447046</v>
      </c>
      <c r="F7" s="4"/>
      <c r="G7" s="84"/>
      <c r="H7" s="4"/>
      <c r="I7" s="4"/>
      <c r="J7" s="4"/>
      <c r="K7" s="4"/>
      <c r="L7" s="4"/>
      <c r="M7" s="4" t="s">
        <v>88</v>
      </c>
      <c r="N7" s="5">
        <v>44944</v>
      </c>
      <c r="O7" s="8" t="s">
        <v>75</v>
      </c>
      <c r="P7" s="8" t="s">
        <v>76</v>
      </c>
      <c r="Q7" s="8">
        <v>90</v>
      </c>
      <c r="R7" s="8">
        <v>31</v>
      </c>
      <c r="S7" s="8">
        <v>0</v>
      </c>
      <c r="T7" s="8">
        <v>0</v>
      </c>
      <c r="U7" s="8" t="s">
        <v>75</v>
      </c>
      <c r="V7" s="8" t="s">
        <v>77</v>
      </c>
      <c r="W7" s="8">
        <v>20</v>
      </c>
      <c r="X7" s="8">
        <v>30</v>
      </c>
      <c r="Y7" s="8">
        <v>0</v>
      </c>
      <c r="Z7" s="8">
        <v>0</v>
      </c>
      <c r="AA7" s="8" t="s">
        <v>78</v>
      </c>
      <c r="AB7" s="8" t="s">
        <v>76</v>
      </c>
      <c r="AC7" s="8">
        <v>90</v>
      </c>
      <c r="AD7" s="8">
        <v>31</v>
      </c>
      <c r="AE7" s="8" t="s">
        <v>78</v>
      </c>
      <c r="AF7" s="8" t="s">
        <v>77</v>
      </c>
      <c r="AG7" s="8">
        <v>20</v>
      </c>
      <c r="AH7" s="8">
        <v>30</v>
      </c>
    </row>
    <row r="8" spans="1:36" x14ac:dyDescent="0.3">
      <c r="A8" s="3">
        <v>5</v>
      </c>
      <c r="B8" s="4" t="s">
        <v>86</v>
      </c>
      <c r="C8" s="84">
        <v>38</v>
      </c>
      <c r="D8" s="4"/>
      <c r="E8" s="4" t="s">
        <v>113</v>
      </c>
      <c r="F8" s="4"/>
      <c r="G8" s="84"/>
      <c r="H8" s="4"/>
      <c r="I8" s="4"/>
      <c r="J8" s="4"/>
      <c r="K8" s="4"/>
      <c r="L8" s="4"/>
      <c r="M8" s="4" t="s">
        <v>87</v>
      </c>
      <c r="N8" s="5" t="s">
        <v>82</v>
      </c>
      <c r="O8" s="8" t="s">
        <v>83</v>
      </c>
      <c r="P8" s="8" t="s">
        <v>77</v>
      </c>
      <c r="Q8" s="8">
        <v>115</v>
      </c>
      <c r="R8" s="8">
        <v>27</v>
      </c>
      <c r="S8" s="8">
        <v>0</v>
      </c>
      <c r="T8" s="8">
        <v>0</v>
      </c>
      <c r="U8" s="8" t="s">
        <v>84</v>
      </c>
      <c r="V8" s="8" t="s">
        <v>76</v>
      </c>
      <c r="W8" s="8">
        <v>60</v>
      </c>
      <c r="X8" s="8">
        <v>27</v>
      </c>
      <c r="Y8" s="8">
        <v>0</v>
      </c>
      <c r="Z8" s="8">
        <v>0</v>
      </c>
      <c r="AA8" s="8">
        <v>0</v>
      </c>
      <c r="AB8" s="8">
        <v>0</v>
      </c>
      <c r="AC8" s="8">
        <v>0</v>
      </c>
      <c r="AD8" s="8">
        <v>0</v>
      </c>
      <c r="AE8" s="8">
        <v>0</v>
      </c>
      <c r="AF8" s="8">
        <v>0</v>
      </c>
      <c r="AG8" s="8">
        <v>0</v>
      </c>
      <c r="AH8" s="8">
        <v>0</v>
      </c>
    </row>
    <row r="9" spans="1:36" x14ac:dyDescent="0.3">
      <c r="A9" s="3">
        <v>6</v>
      </c>
      <c r="B9" s="4" t="s">
        <v>90</v>
      </c>
      <c r="C9" s="84" t="s">
        <v>97</v>
      </c>
      <c r="D9" s="4"/>
      <c r="E9" s="4" t="s">
        <v>91</v>
      </c>
      <c r="F9" s="4"/>
      <c r="G9" s="84"/>
      <c r="H9" s="4"/>
      <c r="I9" s="4"/>
      <c r="J9" s="4"/>
      <c r="K9" s="4"/>
      <c r="L9" s="4"/>
      <c r="M9" s="4" t="s">
        <v>92</v>
      </c>
      <c r="N9" s="5" t="s">
        <v>93</v>
      </c>
      <c r="O9" s="8" t="s">
        <v>94</v>
      </c>
      <c r="P9" s="8" t="s">
        <v>69</v>
      </c>
      <c r="Q9" s="8">
        <v>155</v>
      </c>
      <c r="R9" s="8">
        <v>31</v>
      </c>
      <c r="S9" s="8">
        <v>0</v>
      </c>
      <c r="T9" s="8">
        <v>22</v>
      </c>
      <c r="U9" s="8" t="s">
        <v>94</v>
      </c>
      <c r="V9" s="8" t="s">
        <v>95</v>
      </c>
      <c r="W9" s="8">
        <v>15</v>
      </c>
      <c r="X9" s="8">
        <v>31</v>
      </c>
      <c r="Y9" s="8">
        <v>0</v>
      </c>
      <c r="Z9" s="8">
        <v>22</v>
      </c>
      <c r="AA9" s="8" t="s">
        <v>54</v>
      </c>
      <c r="AB9" s="8" t="s">
        <v>69</v>
      </c>
      <c r="AC9" s="8">
        <v>155</v>
      </c>
      <c r="AD9" s="8">
        <v>31</v>
      </c>
      <c r="AE9" s="8" t="s">
        <v>54</v>
      </c>
      <c r="AF9" s="8" t="s">
        <v>95</v>
      </c>
      <c r="AG9" s="8">
        <v>15</v>
      </c>
      <c r="AH9" s="8">
        <v>31</v>
      </c>
    </row>
    <row r="10" spans="1:36" x14ac:dyDescent="0.3">
      <c r="A10" s="3">
        <v>7</v>
      </c>
      <c r="B10" s="4" t="s">
        <v>99</v>
      </c>
      <c r="C10" s="84" t="s">
        <v>100</v>
      </c>
      <c r="D10" s="4"/>
      <c r="E10" s="4">
        <v>11961805927</v>
      </c>
      <c r="F10" s="4"/>
      <c r="G10" s="84"/>
      <c r="H10" s="4"/>
      <c r="I10" s="4"/>
      <c r="J10" s="4"/>
      <c r="K10" s="4"/>
      <c r="L10" s="4"/>
      <c r="M10" s="4" t="s">
        <v>104</v>
      </c>
      <c r="N10" s="5" t="s">
        <v>93</v>
      </c>
      <c r="O10" s="8" t="s">
        <v>55</v>
      </c>
      <c r="P10" s="8" t="s">
        <v>77</v>
      </c>
      <c r="Q10" s="8">
        <v>5</v>
      </c>
      <c r="R10" s="8">
        <v>31</v>
      </c>
      <c r="S10" s="8">
        <v>0</v>
      </c>
      <c r="T10" s="8">
        <v>23</v>
      </c>
      <c r="U10" s="8" t="s">
        <v>55</v>
      </c>
      <c r="V10" s="8" t="s">
        <v>77</v>
      </c>
      <c r="W10" s="8">
        <v>135</v>
      </c>
      <c r="X10" s="8">
        <v>30</v>
      </c>
      <c r="Y10" s="8">
        <v>0</v>
      </c>
      <c r="Z10" s="8">
        <v>23</v>
      </c>
      <c r="AA10" s="8" t="s">
        <v>101</v>
      </c>
      <c r="AB10" s="8" t="s">
        <v>77</v>
      </c>
      <c r="AC10" s="8">
        <v>5</v>
      </c>
      <c r="AD10" s="8">
        <v>31</v>
      </c>
      <c r="AE10" s="8" t="s">
        <v>101</v>
      </c>
      <c r="AF10" s="8" t="s">
        <v>77</v>
      </c>
      <c r="AG10" s="8">
        <v>135</v>
      </c>
      <c r="AH10" s="8">
        <v>30</v>
      </c>
    </row>
    <row r="11" spans="1:36" x14ac:dyDescent="0.3">
      <c r="A11" s="3"/>
      <c r="B11" s="4"/>
      <c r="C11" s="84"/>
      <c r="D11" s="3"/>
      <c r="E11" s="4"/>
      <c r="F11" s="4"/>
      <c r="G11" s="84"/>
      <c r="H11" s="4"/>
      <c r="I11" s="4"/>
      <c r="J11" s="4"/>
      <c r="K11" s="4"/>
      <c r="L11" s="4"/>
      <c r="M11" s="4"/>
      <c r="N11" s="86"/>
      <c r="O11" s="87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</row>
  </sheetData>
  <sheetProtection algorithmName="SHA-512" hashValue="BMWP+Aoqo1epRNUY0zmVtxxt7j5vCQdaVSPe8iBn+/wnGX2oxFuviwxSKkoFdZhoMSkfFp2caQ+C+26vxy2jTQ==" saltValue="eqJBOf/2doIoyTbzGp1Deg==" spinCount="100000" sheet="1" objects="1" scenarios="1"/>
  <mergeCells count="1">
    <mergeCell ref="E1:H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747BB-53C8-4E7A-BBA0-DB8E680E0EF5}">
  <sheetPr codeName="Planilha8"/>
  <dimension ref="A1:Y20"/>
  <sheetViews>
    <sheetView showGridLines="0" showRowColHeaders="0" tabSelected="1" zoomScaleNormal="100" workbookViewId="0">
      <pane ySplit="2" topLeftCell="A3" activePane="bottomLeft" state="frozen"/>
      <selection pane="bottomLeft"/>
    </sheetView>
  </sheetViews>
  <sheetFormatPr defaultColWidth="8.88671875" defaultRowHeight="14.4" x14ac:dyDescent="0.3"/>
  <cols>
    <col min="1" max="1" width="5.21875" style="1" customWidth="1"/>
    <col min="2" max="2" width="16" style="1" customWidth="1"/>
    <col min="3" max="3" width="12.77734375" style="1" bestFit="1" customWidth="1"/>
    <col min="4" max="4" width="42.33203125" style="1" customWidth="1"/>
    <col min="5" max="5" width="39.6640625" style="1" customWidth="1"/>
    <col min="6" max="6" width="47.88671875" style="1" customWidth="1"/>
    <col min="7" max="7" width="8.44140625" style="1" bestFit="1" customWidth="1"/>
    <col min="8" max="8" width="12.88671875" style="1" customWidth="1"/>
    <col min="9" max="9" width="19.6640625" style="6" customWidth="1"/>
    <col min="10" max="14" width="12.77734375" style="2" customWidth="1"/>
    <col min="15" max="15" width="15.6640625" style="70" customWidth="1"/>
    <col min="16" max="17" width="15.6640625" style="2" customWidth="1"/>
    <col min="18" max="18" width="15.6640625" style="70" customWidth="1"/>
    <col min="19" max="19" width="15.6640625" style="73" customWidth="1"/>
    <col min="20" max="20" width="15.6640625" style="70" customWidth="1"/>
    <col min="21" max="21" width="15.6640625" style="73" customWidth="1"/>
    <col min="22" max="22" width="3.88671875" style="1" customWidth="1"/>
    <col min="23" max="23" width="8.88671875" style="1"/>
    <col min="24" max="24" width="4" style="1" customWidth="1"/>
    <col min="25" max="16384" width="8.88671875" style="1"/>
  </cols>
  <sheetData>
    <row r="1" spans="1:25" ht="49.95" customHeight="1" x14ac:dyDescent="0.3">
      <c r="A1" s="54"/>
      <c r="B1" s="54"/>
      <c r="C1" s="54"/>
      <c r="D1" s="54"/>
      <c r="E1" s="92" t="s">
        <v>44</v>
      </c>
      <c r="F1" s="92"/>
      <c r="G1" s="92"/>
      <c r="H1" s="92"/>
      <c r="I1" s="92"/>
      <c r="J1" s="55"/>
      <c r="K1" s="55"/>
      <c r="L1" s="55"/>
      <c r="M1" s="55"/>
      <c r="N1" s="55"/>
      <c r="O1" s="67"/>
      <c r="P1" s="56"/>
      <c r="Q1" s="56"/>
      <c r="R1" s="67"/>
      <c r="S1" s="72"/>
      <c r="T1" s="67"/>
      <c r="U1" s="72"/>
      <c r="V1" s="57"/>
      <c r="W1" s="58" t="s">
        <v>28</v>
      </c>
      <c r="X1" s="57"/>
      <c r="Y1" s="57"/>
    </row>
    <row r="2" spans="1:25" ht="18" x14ac:dyDescent="0.3">
      <c r="A2" s="59" t="s">
        <v>28</v>
      </c>
      <c r="B2" s="60" t="s">
        <v>29</v>
      </c>
      <c r="C2" s="60" t="s">
        <v>6</v>
      </c>
      <c r="D2" s="60" t="s">
        <v>111</v>
      </c>
      <c r="E2" s="60" t="s">
        <v>30</v>
      </c>
      <c r="F2" s="60" t="s">
        <v>31</v>
      </c>
      <c r="G2" s="60" t="s">
        <v>32</v>
      </c>
      <c r="H2" s="60" t="s">
        <v>33</v>
      </c>
      <c r="I2" s="61" t="s">
        <v>0</v>
      </c>
      <c r="J2" s="62" t="s">
        <v>50</v>
      </c>
      <c r="K2" s="62" t="s">
        <v>34</v>
      </c>
      <c r="L2" s="62" t="s">
        <v>35</v>
      </c>
      <c r="M2" s="62" t="s">
        <v>36</v>
      </c>
      <c r="N2" s="62" t="s">
        <v>105</v>
      </c>
      <c r="O2" s="68" t="s">
        <v>112</v>
      </c>
      <c r="P2" s="63" t="s">
        <v>109</v>
      </c>
      <c r="Q2" s="63" t="s">
        <v>106</v>
      </c>
      <c r="R2" s="71" t="s">
        <v>107</v>
      </c>
      <c r="S2" s="52" t="s">
        <v>108</v>
      </c>
      <c r="T2" s="71" t="s">
        <v>37</v>
      </c>
      <c r="U2" s="75" t="s">
        <v>110</v>
      </c>
      <c r="W2" s="9">
        <v>8</v>
      </c>
    </row>
    <row r="3" spans="1:25" ht="18" x14ac:dyDescent="0.3">
      <c r="A3" s="59"/>
      <c r="B3" s="60"/>
      <c r="C3" s="60"/>
      <c r="D3" s="60"/>
      <c r="E3" s="60"/>
      <c r="F3" s="60"/>
      <c r="G3" s="60"/>
      <c r="H3" s="60"/>
      <c r="I3" s="61"/>
      <c r="J3" s="62"/>
      <c r="K3" s="62"/>
      <c r="L3" s="62"/>
      <c r="M3" s="62"/>
      <c r="N3" s="62"/>
      <c r="O3" s="68"/>
      <c r="P3" s="63"/>
      <c r="Q3" s="63"/>
      <c r="R3" s="71"/>
      <c r="S3" s="52"/>
      <c r="T3" s="71"/>
      <c r="U3" s="75"/>
      <c r="W3" s="78"/>
    </row>
    <row r="4" spans="1:25" x14ac:dyDescent="0.3">
      <c r="A4" s="10">
        <v>1</v>
      </c>
      <c r="B4" s="10">
        <v>0</v>
      </c>
      <c r="C4" s="10" t="s">
        <v>61</v>
      </c>
      <c r="D4" s="10" t="s">
        <v>51</v>
      </c>
      <c r="E4" s="10" t="s">
        <v>60</v>
      </c>
      <c r="F4" s="10" t="s">
        <v>59</v>
      </c>
      <c r="G4" s="10">
        <v>1</v>
      </c>
      <c r="H4" s="10" t="s">
        <v>40</v>
      </c>
      <c r="I4" s="41">
        <v>44938</v>
      </c>
      <c r="J4" s="40">
        <v>12</v>
      </c>
      <c r="K4" s="40">
        <v>0</v>
      </c>
      <c r="L4" s="40">
        <v>7</v>
      </c>
      <c r="M4" s="40">
        <v>66.900000000000006</v>
      </c>
      <c r="N4" s="40">
        <v>0</v>
      </c>
      <c r="O4" s="53">
        <f>Tabela4[[#This Row],[MONTAGEM]]+Tabela4[[#This Row],[ARMAÇÃO]]+Tabela4[[#This Row],[CAIXINHA/SPRAY]]+Tabela4[[#This Row],[LENTE]]+Tabela4[[#This Row],[TAXA]]</f>
        <v>85.9</v>
      </c>
      <c r="P4" s="64">
        <v>750</v>
      </c>
      <c r="Q4" s="64">
        <v>0</v>
      </c>
      <c r="R4" s="53">
        <f>IF(Tabela4[[#This Row],[SINAL]]=0,0,Tabela4[[#This Row],[VALOR VENDA]]-Tabela4[[#This Row],[SINAL]])</f>
        <v>0</v>
      </c>
      <c r="S4" s="50">
        <f>Tabela4[[#This Row],[VALOR VENDA]]-Tabela4[[#This Row],[TAXA]]</f>
        <v>750</v>
      </c>
      <c r="T4" s="74">
        <f>Tabela4[[#This Row],[QT]]*Tabela4[[#This Row],[VALOR VENDA]]-Tabela4[[#This Row],[TOTAL CUSTO]]</f>
        <v>664.1</v>
      </c>
      <c r="U4" s="76">
        <f>IF(O4=0,0,Tabela4[[#This Row],[LUCRO]]/Tabela4[[#This Row],[TOTAL CUSTO]])</f>
        <v>7.7310826542491267</v>
      </c>
      <c r="X4" s="65"/>
    </row>
    <row r="5" spans="1:25" x14ac:dyDescent="0.3">
      <c r="A5" s="47">
        <v>2</v>
      </c>
      <c r="B5" s="47">
        <v>0</v>
      </c>
      <c r="C5" s="47">
        <v>454659</v>
      </c>
      <c r="D5" s="47" t="s">
        <v>63</v>
      </c>
      <c r="E5" s="47" t="s">
        <v>65</v>
      </c>
      <c r="F5" s="47" t="s">
        <v>66</v>
      </c>
      <c r="G5" s="47">
        <v>1</v>
      </c>
      <c r="H5" s="47" t="s">
        <v>39</v>
      </c>
      <c r="I5" s="80" t="s">
        <v>64</v>
      </c>
      <c r="J5" s="48">
        <v>12</v>
      </c>
      <c r="K5" s="48">
        <v>25</v>
      </c>
      <c r="L5" s="48">
        <v>7</v>
      </c>
      <c r="M5" s="48">
        <v>25</v>
      </c>
      <c r="N5" s="40">
        <v>0</v>
      </c>
      <c r="O5" s="49">
        <f>Tabela4[[#This Row],[MONTAGEM]]+Tabela4[[#This Row],[ARMAÇÃO]]+Tabela4[[#This Row],[CAIXINHA/SPRAY]]+Tabela4[[#This Row],[LENTE]]+Tabela4[[#This Row],[TAXA]]</f>
        <v>69</v>
      </c>
      <c r="P5" s="64">
        <v>250</v>
      </c>
      <c r="Q5" s="64">
        <v>0</v>
      </c>
      <c r="R5" s="49">
        <f>IF(Tabela4[[#This Row],[SINAL]]=0,0,Tabela4[[#This Row],[VALOR VENDA]]-Tabela4[[#This Row],[SINAL]])</f>
        <v>0</v>
      </c>
      <c r="S5" s="50">
        <f>Tabela4[[#This Row],[VALOR VENDA]]-Tabela4[[#This Row],[TAXA]]</f>
        <v>250</v>
      </c>
      <c r="T5" s="50">
        <f>Tabela4[[#This Row],[QT]]*Tabela4[[#This Row],[VALOR VENDA]]-Tabela4[[#This Row],[TOTAL CUSTO]]</f>
        <v>181</v>
      </c>
      <c r="U5" s="51">
        <f>IF(O5=0,0,Tabela4[[#This Row],[LUCRO]]/Tabela4[[#This Row],[TOTAL CUSTO]])</f>
        <v>2.6231884057971016</v>
      </c>
    </row>
    <row r="6" spans="1:25" x14ac:dyDescent="0.3">
      <c r="A6" s="47">
        <v>3</v>
      </c>
      <c r="B6" s="47">
        <v>0</v>
      </c>
      <c r="C6" s="47">
        <v>36</v>
      </c>
      <c r="D6" s="47" t="s">
        <v>67</v>
      </c>
      <c r="E6" s="47" t="s">
        <v>70</v>
      </c>
      <c r="F6" s="47" t="s">
        <v>81</v>
      </c>
      <c r="G6" s="47">
        <v>1</v>
      </c>
      <c r="H6" s="47" t="s">
        <v>40</v>
      </c>
      <c r="I6" s="80" t="s">
        <v>68</v>
      </c>
      <c r="J6" s="48">
        <v>12</v>
      </c>
      <c r="K6" s="48">
        <v>25</v>
      </c>
      <c r="L6" s="48">
        <v>7</v>
      </c>
      <c r="M6" s="48">
        <v>25</v>
      </c>
      <c r="N6" s="40">
        <v>0</v>
      </c>
      <c r="O6" s="49">
        <f>Tabela4[[#This Row],[MONTAGEM]]+Tabela4[[#This Row],[ARMAÇÃO]]+Tabela4[[#This Row],[CAIXINHA/SPRAY]]+Tabela4[[#This Row],[LENTE]]+Tabela4[[#This Row],[TAXA]]</f>
        <v>69</v>
      </c>
      <c r="P6" s="64">
        <v>399.9</v>
      </c>
      <c r="Q6" s="64">
        <v>0</v>
      </c>
      <c r="R6" s="49">
        <f>IF(Tabela4[[#This Row],[SINAL]]=0,0,Tabela4[[#This Row],[VALOR VENDA]]-Tabela4[[#This Row],[SINAL]])</f>
        <v>0</v>
      </c>
      <c r="S6" s="50">
        <f>Tabela4[[#This Row],[VALOR VENDA]]-Tabela4[[#This Row],[TAXA]]</f>
        <v>399.9</v>
      </c>
      <c r="T6" s="50">
        <f>Tabela4[[#This Row],[QT]]*Tabela4[[#This Row],[VALOR VENDA]]-Tabela4[[#This Row],[TOTAL CUSTO]]</f>
        <v>330.9</v>
      </c>
      <c r="U6" s="51">
        <f>IF(O6=0,0,Tabela4[[#This Row],[LUCRO]]/Tabela4[[#This Row],[TOTAL CUSTO]])</f>
        <v>4.7956521739130435</v>
      </c>
    </row>
    <row r="7" spans="1:25" x14ac:dyDescent="0.3">
      <c r="A7" s="47">
        <v>4</v>
      </c>
      <c r="B7" s="47">
        <v>0</v>
      </c>
      <c r="C7" s="47">
        <v>37</v>
      </c>
      <c r="D7" s="47" t="s">
        <v>73</v>
      </c>
      <c r="E7" s="47" t="s">
        <v>79</v>
      </c>
      <c r="F7" s="47" t="s">
        <v>80</v>
      </c>
      <c r="G7" s="47">
        <v>1</v>
      </c>
      <c r="H7" s="47" t="s">
        <v>38</v>
      </c>
      <c r="I7" s="80" t="s">
        <v>74</v>
      </c>
      <c r="J7" s="48">
        <v>12</v>
      </c>
      <c r="K7" s="48">
        <v>25</v>
      </c>
      <c r="L7" s="48">
        <v>7</v>
      </c>
      <c r="M7" s="48">
        <v>0</v>
      </c>
      <c r="N7" s="40">
        <v>21.88</v>
      </c>
      <c r="O7" s="49">
        <f>Tabela4[[#This Row],[MONTAGEM]]+Tabela4[[#This Row],[ARMAÇÃO]]+Tabela4[[#This Row],[CAIXINHA/SPRAY]]+Tabela4[[#This Row],[LENTE]]+Tabela4[[#This Row],[TAXA]]</f>
        <v>65.88</v>
      </c>
      <c r="P7" s="64">
        <v>400</v>
      </c>
      <c r="Q7" s="64">
        <v>0</v>
      </c>
      <c r="R7" s="49">
        <f>IF(Tabela4[[#This Row],[SINAL]]=0,0,Tabela4[[#This Row],[VALOR VENDA]]-Tabela4[[#This Row],[SINAL]])</f>
        <v>0</v>
      </c>
      <c r="S7" s="50">
        <f>Tabela4[[#This Row],[VALOR VENDA]]-Tabela4[[#This Row],[TAXA]]</f>
        <v>378.12</v>
      </c>
      <c r="T7" s="50">
        <f>Tabela4[[#This Row],[QT]]*Tabela4[[#This Row],[VALOR VENDA]]-Tabela4[[#This Row],[TOTAL CUSTO]]</f>
        <v>334.12</v>
      </c>
      <c r="U7" s="51">
        <f>IF(O7=0,0,Tabela4[[#This Row],[LUCRO]]/Tabela4[[#This Row],[TOTAL CUSTO]])</f>
        <v>5.0716454159077111</v>
      </c>
    </row>
    <row r="8" spans="1:25" x14ac:dyDescent="0.3">
      <c r="A8" s="47">
        <v>5</v>
      </c>
      <c r="B8" s="47">
        <v>0</v>
      </c>
      <c r="C8" s="47">
        <v>38</v>
      </c>
      <c r="D8" s="47" t="s">
        <v>86</v>
      </c>
      <c r="E8" s="47" t="s">
        <v>85</v>
      </c>
      <c r="F8" s="47" t="s">
        <v>87</v>
      </c>
      <c r="G8" s="47">
        <v>1</v>
      </c>
      <c r="H8" s="47" t="s">
        <v>38</v>
      </c>
      <c r="I8" s="80" t="s">
        <v>82</v>
      </c>
      <c r="J8" s="48">
        <v>12</v>
      </c>
      <c r="K8" s="48">
        <v>25</v>
      </c>
      <c r="L8" s="48">
        <v>7</v>
      </c>
      <c r="M8" s="48">
        <v>25</v>
      </c>
      <c r="N8" s="40">
        <v>0</v>
      </c>
      <c r="O8" s="49">
        <f>Tabela4[[#This Row],[MONTAGEM]]+Tabela4[[#This Row],[ARMAÇÃO]]+Tabela4[[#This Row],[CAIXINHA/SPRAY]]+Tabela4[[#This Row],[LENTE]]+Tabela4[[#This Row],[TAXA]]</f>
        <v>69</v>
      </c>
      <c r="P8" s="64">
        <v>260</v>
      </c>
      <c r="Q8" s="64">
        <v>0</v>
      </c>
      <c r="R8" s="49">
        <f>IF(Tabela4[[#This Row],[SINAL]]=0,0,Tabela4[[#This Row],[VALOR VENDA]]-Tabela4[[#This Row],[SINAL]])</f>
        <v>0</v>
      </c>
      <c r="S8" s="50">
        <f>Tabela4[[#This Row],[VALOR VENDA]]-Tabela4[[#This Row],[TAXA]]</f>
        <v>260</v>
      </c>
      <c r="T8" s="50">
        <f>Tabela4[[#This Row],[QT]]*Tabela4[[#This Row],[VALOR VENDA]]-Tabela4[[#This Row],[TOTAL CUSTO]]</f>
        <v>191</v>
      </c>
      <c r="U8" s="51">
        <f>IF(O8=0,0,Tabela4[[#This Row],[LUCRO]]/Tabela4[[#This Row],[TOTAL CUSTO]])</f>
        <v>2.7681159420289854</v>
      </c>
    </row>
    <row r="9" spans="1:25" x14ac:dyDescent="0.3">
      <c r="A9" s="47">
        <v>6</v>
      </c>
      <c r="B9" s="47">
        <v>0</v>
      </c>
      <c r="C9" s="47">
        <v>34</v>
      </c>
      <c r="D9" s="47" t="s">
        <v>90</v>
      </c>
      <c r="E9" s="47" t="s">
        <v>96</v>
      </c>
      <c r="F9" s="47" t="s">
        <v>98</v>
      </c>
      <c r="G9" s="47">
        <v>1</v>
      </c>
      <c r="H9" s="47" t="s">
        <v>38</v>
      </c>
      <c r="I9" s="80" t="s">
        <v>93</v>
      </c>
      <c r="J9" s="48">
        <v>12</v>
      </c>
      <c r="K9" s="48">
        <v>25</v>
      </c>
      <c r="L9" s="48">
        <v>7</v>
      </c>
      <c r="M9" s="48">
        <v>119</v>
      </c>
      <c r="N9" s="40">
        <v>40.950000000000003</v>
      </c>
      <c r="O9" s="49">
        <f>Tabela4[[#This Row],[MONTAGEM]]+Tabela4[[#This Row],[ARMAÇÃO]]+Tabela4[[#This Row],[CAIXINHA/SPRAY]]+Tabela4[[#This Row],[LENTE]]+Tabela4[[#This Row],[TAXA]]</f>
        <v>203.95</v>
      </c>
      <c r="P9" s="64">
        <v>750</v>
      </c>
      <c r="Q9" s="64">
        <v>0</v>
      </c>
      <c r="R9" s="49">
        <f>IF(Tabela4[[#This Row],[SINAL]]=0,0,Tabela4[[#This Row],[VALOR VENDA]]-Tabela4[[#This Row],[SINAL]])</f>
        <v>0</v>
      </c>
      <c r="S9" s="50">
        <f>Tabela4[[#This Row],[VALOR VENDA]]-Tabela4[[#This Row],[TAXA]]</f>
        <v>709.05</v>
      </c>
      <c r="T9" s="50">
        <f>Tabela4[[#This Row],[QT]]*Tabela4[[#This Row],[VALOR VENDA]]-Tabela4[[#This Row],[TOTAL CUSTO]]</f>
        <v>546.04999999999995</v>
      </c>
      <c r="U9" s="51">
        <f>IF(O9=0,0,Tabela4[[#This Row],[LUCRO]]/Tabela4[[#This Row],[TOTAL CUSTO]])</f>
        <v>2.6773719048786466</v>
      </c>
    </row>
    <row r="10" spans="1:25" x14ac:dyDescent="0.3">
      <c r="A10" s="47">
        <v>7</v>
      </c>
      <c r="B10" s="47">
        <v>0</v>
      </c>
      <c r="C10" s="47" t="s">
        <v>100</v>
      </c>
      <c r="D10" s="4" t="s">
        <v>99</v>
      </c>
      <c r="E10" s="47" t="s">
        <v>102</v>
      </c>
      <c r="F10" s="47" t="s">
        <v>103</v>
      </c>
      <c r="G10" s="47">
        <v>1</v>
      </c>
      <c r="H10" s="47" t="s">
        <v>40</v>
      </c>
      <c r="I10" s="80" t="s">
        <v>93</v>
      </c>
      <c r="J10" s="48">
        <v>12</v>
      </c>
      <c r="K10" s="48">
        <v>25</v>
      </c>
      <c r="L10" s="48">
        <v>7</v>
      </c>
      <c r="M10" s="48">
        <v>119</v>
      </c>
      <c r="N10" s="40">
        <v>0</v>
      </c>
      <c r="O10" s="49">
        <f>Tabela4[[#This Row],[MONTAGEM]]+Tabela4[[#This Row],[ARMAÇÃO]]+Tabela4[[#This Row],[CAIXINHA/SPRAY]]+Tabela4[[#This Row],[LENTE]]+Tabela4[[#This Row],[TAXA]]</f>
        <v>163</v>
      </c>
      <c r="P10" s="64">
        <v>750</v>
      </c>
      <c r="Q10" s="64">
        <v>0</v>
      </c>
      <c r="R10" s="49">
        <f>IF(Tabela4[[#This Row],[SINAL]]=0,0,Tabela4[[#This Row],[VALOR VENDA]]-Tabela4[[#This Row],[SINAL]])</f>
        <v>0</v>
      </c>
      <c r="S10" s="50">
        <f>Tabela4[[#This Row],[VALOR VENDA]]-Tabela4[[#This Row],[TAXA]]</f>
        <v>750</v>
      </c>
      <c r="T10" s="50">
        <f>Tabela4[[#This Row],[QT]]*Tabela4[[#This Row],[VALOR VENDA]]-Tabela4[[#This Row],[TOTAL CUSTO]]</f>
        <v>587</v>
      </c>
      <c r="U10" s="51">
        <f>IF(O10=0,0,Tabela4[[#This Row],[LUCRO]]/Tabela4[[#This Row],[TOTAL CUSTO]])</f>
        <v>3.6012269938650308</v>
      </c>
    </row>
    <row r="11" spans="1:25" x14ac:dyDescent="0.3">
      <c r="A11" s="47"/>
      <c r="B11" s="47"/>
      <c r="C11" s="47"/>
      <c r="D11" s="4"/>
      <c r="E11" s="47"/>
      <c r="F11" s="47"/>
      <c r="G11" s="47"/>
      <c r="H11" s="47"/>
      <c r="I11" s="80"/>
      <c r="J11" s="48"/>
      <c r="K11" s="48"/>
      <c r="L11" s="48"/>
      <c r="M11" s="48"/>
      <c r="N11" s="40"/>
      <c r="O11" s="49">
        <f>Tabela4[[#This Row],[MONTAGEM]]+Tabela4[[#This Row],[ARMAÇÃO]]+Tabela4[[#This Row],[CAIXINHA/SPRAY]]+Tabela4[[#This Row],[LENTE]]+Tabela4[[#This Row],[TAXA]]</f>
        <v>0</v>
      </c>
      <c r="P11" s="64"/>
      <c r="Q11" s="77"/>
      <c r="R11" s="49">
        <f>IF(Tabela4[[#This Row],[SINAL]]=0,0,Tabela4[[#This Row],[VALOR VENDA]]-Tabela4[[#This Row],[SINAL]])</f>
        <v>0</v>
      </c>
      <c r="S11" s="49">
        <f>Tabela4[[#This Row],[VALOR VENDA]]-Tabela4[[#This Row],[TAXA]]</f>
        <v>0</v>
      </c>
      <c r="T11" s="50">
        <f>Tabela4[[#This Row],[QT]]*Tabela4[[#This Row],[VALOR VENDA]]-Tabela4[[#This Row],[TOTAL CUSTO]]</f>
        <v>0</v>
      </c>
      <c r="U11" s="51">
        <f>IF(O11=0,0,Tabela4[[#This Row],[LUCRO]]/Tabela4[[#This Row],[TOTAL CUSTO]])</f>
        <v>0</v>
      </c>
    </row>
    <row r="12" spans="1:25" x14ac:dyDescent="0.3">
      <c r="O12" s="69"/>
      <c r="P12" s="42"/>
      <c r="Q12" s="42"/>
      <c r="R12" s="69"/>
    </row>
    <row r="13" spans="1:25" x14ac:dyDescent="0.3">
      <c r="O13" s="69"/>
      <c r="P13" s="42"/>
      <c r="Q13" s="42"/>
      <c r="R13" s="69"/>
    </row>
    <row r="14" spans="1:25" x14ac:dyDescent="0.3">
      <c r="O14" s="69"/>
      <c r="P14" s="42"/>
      <c r="Q14" s="42"/>
      <c r="R14" s="69"/>
    </row>
    <row r="15" spans="1:25" x14ac:dyDescent="0.3">
      <c r="N15" s="66"/>
      <c r="O15" s="69"/>
      <c r="P15" s="42"/>
      <c r="Q15" s="42"/>
      <c r="R15" s="69"/>
    </row>
    <row r="16" spans="1:25" x14ac:dyDescent="0.3">
      <c r="O16" s="69"/>
      <c r="P16" s="42"/>
      <c r="Q16" s="42"/>
      <c r="R16" s="69"/>
    </row>
    <row r="17" spans="15:18" x14ac:dyDescent="0.3">
      <c r="O17" s="69"/>
      <c r="P17" s="42"/>
      <c r="Q17" s="42"/>
      <c r="R17" s="69"/>
    </row>
    <row r="18" spans="15:18" x14ac:dyDescent="0.3">
      <c r="O18" s="69"/>
      <c r="P18" s="42"/>
      <c r="Q18" s="42"/>
      <c r="R18" s="69"/>
    </row>
    <row r="19" spans="15:18" x14ac:dyDescent="0.3">
      <c r="O19" s="69"/>
      <c r="P19" s="42"/>
      <c r="Q19" s="42"/>
      <c r="R19" s="69"/>
    </row>
    <row r="20" spans="15:18" x14ac:dyDescent="0.3">
      <c r="O20" s="69"/>
      <c r="P20" s="42"/>
      <c r="Q20" s="42"/>
      <c r="R20" s="69"/>
    </row>
  </sheetData>
  <mergeCells count="1">
    <mergeCell ref="E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A3BD-7F7F-4D5F-814E-677221070C13}">
  <sheetPr codeName="Planilha1"/>
  <dimension ref="A1:Z1"/>
  <sheetViews>
    <sheetView showGridLines="0" showRowColHeaders="0" zoomScale="85" zoomScaleNormal="85" workbookViewId="0">
      <selection activeCell="Z15" sqref="Z15"/>
    </sheetView>
  </sheetViews>
  <sheetFormatPr defaultColWidth="8.88671875" defaultRowHeight="14.4" x14ac:dyDescent="0.3"/>
  <cols>
    <col min="1" max="16384" width="8.88671875" style="32"/>
  </cols>
  <sheetData>
    <row r="1" spans="1:26" s="11" customFormat="1" ht="49.95" customHeight="1" x14ac:dyDescent="0.3">
      <c r="A1" s="26"/>
      <c r="B1" s="27"/>
      <c r="C1" s="27"/>
      <c r="D1" s="27"/>
      <c r="E1" s="27"/>
      <c r="F1" s="93" t="s">
        <v>49</v>
      </c>
      <c r="G1" s="93"/>
      <c r="H1" s="93"/>
      <c r="I1" s="93"/>
      <c r="J1" s="93"/>
      <c r="K1" s="27"/>
      <c r="L1" s="27"/>
      <c r="M1" s="27"/>
      <c r="N1" s="27"/>
      <c r="O1" s="27"/>
      <c r="P1" s="28"/>
      <c r="Q1" s="28"/>
      <c r="R1" s="28"/>
      <c r="S1" s="29"/>
      <c r="T1" s="27"/>
      <c r="U1" s="30"/>
      <c r="V1" s="27"/>
      <c r="W1" s="31"/>
      <c r="X1" s="13"/>
      <c r="Y1" s="13"/>
      <c r="Z1" s="13"/>
    </row>
  </sheetData>
  <mergeCells count="1">
    <mergeCell ref="F1:J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44A04-4943-4A82-B733-43314CA088C5}">
  <sheetPr codeName="Planilha9"/>
  <dimension ref="A1:E13"/>
  <sheetViews>
    <sheetView showGridLines="0" showRowColHeaders="0" workbookViewId="0">
      <selection activeCell="K10" sqref="K10"/>
    </sheetView>
  </sheetViews>
  <sheetFormatPr defaultColWidth="8.88671875" defaultRowHeight="14.4" x14ac:dyDescent="0.3"/>
  <cols>
    <col min="1" max="1" width="20" style="16" customWidth="1"/>
    <col min="2" max="2" width="6.33203125" style="16" customWidth="1"/>
    <col min="3" max="3" width="13.44140625" style="16" customWidth="1"/>
    <col min="4" max="4" width="9" style="45" customWidth="1"/>
    <col min="5" max="5" width="8.88671875" style="45"/>
    <col min="6" max="16384" width="8.88671875" style="16"/>
  </cols>
  <sheetData>
    <row r="1" spans="1:5" ht="31.2" customHeight="1" x14ac:dyDescent="0.3">
      <c r="A1" s="38" t="s">
        <v>33</v>
      </c>
      <c r="B1" s="15" t="s">
        <v>46</v>
      </c>
      <c r="C1" s="15" t="s">
        <v>48</v>
      </c>
      <c r="D1" s="43" t="s">
        <v>37</v>
      </c>
      <c r="E1" s="43" t="s">
        <v>47</v>
      </c>
    </row>
    <row r="2" spans="1:5" x14ac:dyDescent="0.3">
      <c r="A2" s="39" t="s">
        <v>40</v>
      </c>
      <c r="B2" s="17">
        <v>1</v>
      </c>
      <c r="C2" s="18" t="str">
        <f>IF(B2=1,"janeiro","")</f>
        <v>janeiro</v>
      </c>
      <c r="D2" s="44">
        <f>SUMPRODUCT((MONTH(Tabela4[DATA])=B2)*(Tabela4[LUCRO]))</f>
        <v>2834.17</v>
      </c>
      <c r="E2" s="44">
        <f>SUMPRODUCT((MONTH(Tabela4[DATA])=B2)*(Tabela4[TOTAL CUSTO]))</f>
        <v>725.73</v>
      </c>
    </row>
    <row r="3" spans="1:5" x14ac:dyDescent="0.3">
      <c r="A3" s="39" t="s">
        <v>39</v>
      </c>
      <c r="B3" s="17">
        <v>2</v>
      </c>
      <c r="C3" s="18" t="str">
        <f>IF(B3=2,"Fevereiro","")</f>
        <v>Fevereiro</v>
      </c>
      <c r="D3" s="44">
        <f>SUMPRODUCT((MONTH(Tabela4[DATA])=B3)*(Tabela4[LUCRO]))</f>
        <v>0</v>
      </c>
      <c r="E3" s="44">
        <f>SUMPRODUCT((MONTH(Tabela4[DATA])=B3)*(Tabela4[TOTAL CUSTO]))</f>
        <v>0</v>
      </c>
    </row>
    <row r="4" spans="1:5" x14ac:dyDescent="0.3">
      <c r="A4" s="39" t="s">
        <v>38</v>
      </c>
      <c r="B4" s="17">
        <v>3</v>
      </c>
      <c r="C4" s="18" t="str">
        <f>IF(B4=3,"Março","")</f>
        <v>Março</v>
      </c>
      <c r="D4" s="44">
        <f>SUMPRODUCT((MONTH(Tabela4[DATA])=B4)*(Tabela4[LUCRO]))</f>
        <v>0</v>
      </c>
      <c r="E4" s="44">
        <f>SUMPRODUCT((MONTH(Tabela4[DATA])=B4)*(Tabela4[TOTAL CUSTO]))</f>
        <v>0</v>
      </c>
    </row>
    <row r="5" spans="1:5" x14ac:dyDescent="0.3">
      <c r="A5" s="39" t="s">
        <v>41</v>
      </c>
      <c r="B5" s="17">
        <v>4</v>
      </c>
      <c r="C5" s="18" t="str">
        <f>IF(B5=4,"Abril","")</f>
        <v>Abril</v>
      </c>
      <c r="D5" s="44">
        <f>SUMPRODUCT((MONTH(Tabela4[DATA])=B5)*(Tabela4[LUCRO]))</f>
        <v>0</v>
      </c>
      <c r="E5" s="44">
        <f>SUMPRODUCT((MONTH(Tabela4[DATA])=B5)*(Tabela4[TOTAL CUSTO]))</f>
        <v>0</v>
      </c>
    </row>
    <row r="6" spans="1:5" x14ac:dyDescent="0.3">
      <c r="B6" s="17">
        <v>5</v>
      </c>
      <c r="C6" s="18" t="str">
        <f>IF(B6=5,"Maio","")</f>
        <v>Maio</v>
      </c>
      <c r="D6" s="44">
        <f>SUMPRODUCT((MONTH(Tabela4[DATA])=B6)*(Tabela4[LUCRO]))</f>
        <v>0</v>
      </c>
      <c r="E6" s="44">
        <f>SUMPRODUCT((MONTH(Tabela4[DATA])=B6)*(Tabela4[TOTAL CUSTO]))</f>
        <v>0</v>
      </c>
    </row>
    <row r="7" spans="1:5" x14ac:dyDescent="0.3">
      <c r="B7" s="17">
        <v>6</v>
      </c>
      <c r="C7" s="18" t="str">
        <f>IF(B7=6,"Junho","")</f>
        <v>Junho</v>
      </c>
      <c r="D7" s="44">
        <f>SUMPRODUCT((MONTH(Tabela4[DATA])=B7)*(Tabela4[LUCRO]))</f>
        <v>0</v>
      </c>
      <c r="E7" s="44">
        <f>SUMPRODUCT((MONTH(Tabela4[DATA])=B7)*(Tabela4[TOTAL CUSTO]))</f>
        <v>0</v>
      </c>
    </row>
    <row r="8" spans="1:5" x14ac:dyDescent="0.3">
      <c r="B8" s="17">
        <v>7</v>
      </c>
      <c r="C8" s="18" t="str">
        <f>IF(B8=7,"Julho","")</f>
        <v>Julho</v>
      </c>
      <c r="D8" s="44">
        <f>SUMPRODUCT((MONTH(Tabela4[DATA])=B8)*(Tabela4[LUCRO]))</f>
        <v>0</v>
      </c>
      <c r="E8" s="44">
        <f>SUMPRODUCT((MONTH(Tabela4[DATA])=B8)*(Tabela4[TOTAL CUSTO]))</f>
        <v>0</v>
      </c>
    </row>
    <row r="9" spans="1:5" x14ac:dyDescent="0.3">
      <c r="B9" s="17">
        <v>8</v>
      </c>
      <c r="C9" s="18" t="str">
        <f>IF(B9=8,"Agosto","")</f>
        <v>Agosto</v>
      </c>
      <c r="D9" s="44">
        <f>SUMPRODUCT((MONTH(Tabela4[DATA])=B9)*(Tabela4[LUCRO]))</f>
        <v>0</v>
      </c>
      <c r="E9" s="44">
        <f>SUMPRODUCT((MONTH(Tabela4[DATA])=B9)*(Tabela4[TOTAL CUSTO]))</f>
        <v>0</v>
      </c>
    </row>
    <row r="10" spans="1:5" x14ac:dyDescent="0.3">
      <c r="B10" s="17">
        <v>9</v>
      </c>
      <c r="C10" s="18" t="str">
        <f>IF(B10=9,"Setembro","")</f>
        <v>Setembro</v>
      </c>
      <c r="D10" s="44">
        <f>SUMPRODUCT((MONTH(Tabela4[DATA])=B10)*(Tabela4[LUCRO]))</f>
        <v>0</v>
      </c>
      <c r="E10" s="44">
        <f>SUMPRODUCT((MONTH(Tabela4[DATA])=B10)*(Tabela4[TOTAL CUSTO]))</f>
        <v>0</v>
      </c>
    </row>
    <row r="11" spans="1:5" x14ac:dyDescent="0.3">
      <c r="B11" s="17">
        <v>10</v>
      </c>
      <c r="C11" s="18" t="str">
        <f>IF(B11=10,"Outubro","")</f>
        <v>Outubro</v>
      </c>
      <c r="D11" s="44">
        <f>SUMPRODUCT((MONTH(Tabela4[DATA])=B11)*(Tabela4[LUCRO]))</f>
        <v>0</v>
      </c>
      <c r="E11" s="44">
        <f>SUMPRODUCT((MONTH(Tabela4[DATA])=B11)*(Tabela4[TOTAL CUSTO]))</f>
        <v>0</v>
      </c>
    </row>
    <row r="12" spans="1:5" x14ac:dyDescent="0.3">
      <c r="B12" s="17">
        <v>11</v>
      </c>
      <c r="C12" s="18" t="str">
        <f>IF(B12=11,"Novembro","")</f>
        <v>Novembro</v>
      </c>
      <c r="D12" s="44">
        <f>SUMPRODUCT((MONTH(Tabela4[DATA])=B12)*(Tabela4[LUCRO]))</f>
        <v>0</v>
      </c>
      <c r="E12" s="44">
        <f>SUMPRODUCT((MONTH(Tabela4[DATA])=B12)*(Tabela4[TOTAL CUSTO]))</f>
        <v>0</v>
      </c>
    </row>
    <row r="13" spans="1:5" x14ac:dyDescent="0.3">
      <c r="B13" s="17">
        <v>12</v>
      </c>
      <c r="C13" s="18" t="str">
        <f>IF(B13=12,"Dezembro","")</f>
        <v>Dezembro</v>
      </c>
      <c r="D13" s="44">
        <f>SUMPRODUCT((MONTH(Tabela4[DATA])=B13)*(Tabela4[LUCRO]))</f>
        <v>0</v>
      </c>
      <c r="E13" s="44">
        <f>SUMPRODUCT((MONTH(Tabela4[DATA])=B13)*(Tabela4[TOTAL CUSTO]))</f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</vt:i4>
      </vt:variant>
    </vt:vector>
  </HeadingPairs>
  <TitlesOfParts>
    <vt:vector size="9" baseType="lpstr">
      <vt:lpstr>MENU</vt:lpstr>
      <vt:lpstr>DADOS CADASTRO</vt:lpstr>
      <vt:lpstr>DADOS VENDAS</vt:lpstr>
      <vt:lpstr>Graficos</vt:lpstr>
      <vt:lpstr>DADOS SISTEMA</vt:lpstr>
      <vt:lpstr>forma_pagamento</vt:lpstr>
      <vt:lpstr>ID</vt:lpstr>
      <vt:lpstr>ID_vendas</vt:lpstr>
      <vt:lpstr>nomes_cadastro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</dc:creator>
  <cp:lastModifiedBy>nitro 5</cp:lastModifiedBy>
  <dcterms:created xsi:type="dcterms:W3CDTF">2015-06-05T18:19:34Z</dcterms:created>
  <dcterms:modified xsi:type="dcterms:W3CDTF">2023-01-29T23:25:54Z</dcterms:modified>
</cp:coreProperties>
</file>