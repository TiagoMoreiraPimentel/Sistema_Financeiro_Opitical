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7665F834-FB01-40E2-BF49-5EB079D12348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<sst xmlns="http://schemas.openxmlformats.org/spreadsheetml/2006/main" count="113" uniqueCount="81">
  <si>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</si>
  <si>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</si>
  <si>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</si>
  <si>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</si>
  <si>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</si>
  <si>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</si>
  <si>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</si>
  <si>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</si>
  <si>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</si>
  <si>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</si>
  <si>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</si>
  <si>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</si>
  <si>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</si>
  <si>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</si>
  <si>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</si>
  <si>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</si>
  <si>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</si>
  <si>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</si>
  <si>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</si>
  <si>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</si>
  <si>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</si>
  <si>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</si>
  <si>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</si>
  <si>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</si>
  <si>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</si>
  <si>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</si>
  <si>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</si>
  <si>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</si>
  <si>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</si>
  <si>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</si>
  <si>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</si>
  <si>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</si>
  <si>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</si>
  <si>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</si>
  <si>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</si>
  <si>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</si>
  <si>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</si>
  <si>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</si>
  <si>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</si>
  <si>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</si>
  <si>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</si>
  <si>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</si>
  <si>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</si>
  <si>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</si>
  <si>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</si>
  <si>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</si>
  <si>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</si>
  <si>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</si>
  <si>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</si>
  <si>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</si>
  <si>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</si>
  <si>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</si>
  <si>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</si>
  <si>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</si>
  <si>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</si>
  <si>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</si>
  <si>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</si>
  <si>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</si>
  <si>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</si>
  <si>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</si>
  <si>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</si>
  <si>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</si>
  <si>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</si>
  <si>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</si>
  <si>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tiago moreira pimentel</t>
  </si>
  <si>
    <t>01</t>
  </si>
  <si>
    <t>(11)4498-0611</t>
  </si>
  <si>
    <t>(11)94709-6148</t>
  </si>
  <si>
    <t>462.434.568-11</t>
  </si>
  <si>
    <t>07792-720</t>
  </si>
  <si>
    <t>Rua Gilberto de Carvalho</t>
  </si>
  <si>
    <t>até 598/599</t>
  </si>
  <si>
    <t>Panorama (Polvilho)</t>
  </si>
  <si>
    <t>Cajamar</t>
  </si>
  <si>
    <t>SP</t>
  </si>
  <si>
    <t>Sem observação</t>
  </si>
  <si>
    <t>0</t>
  </si>
  <si>
    <t>SISTEMA</t>
  </si>
  <si>
    <t>vazio</t>
  </si>
  <si>
    <t>Sem descrição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</si>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</sst>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12" fillId="0" borderId="1" xfId="0" applyNumberFormat="1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" xfId="0" applyNumberFormat="1" applyFont="1" applyFill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 applyProtection="1">
      <alignment horizontal="center" vertical="center"/>
    </xf>
    <xf numFmtId="2" fontId="6" fillId="6" borderId="1" xfId="0" applyNumberFormat="1" applyFont="1" applyFill="1" applyBorder="1" applyAlignment="1" applyProtection="1">
      <alignment horizontal="center" vertical="center"/>
    </xf>
    <xf numFmtId="10" fontId="6" fillId="6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[0]!graficoVendas_data</c:f>
              <c:numCache>
                <c:formatCode>m/d/yyyy</c:formatCode>
                <c:ptCount val="2"/>
                <c:pt idx="0" formatCode="m/d/yyyy">
                  <c:v>44928</c:v>
                </c:pt>
                <c:pt idx="1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2"/>
                <c:pt idx="0">
                  <c:v>0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2"/>
                <c:pt idx="0" formatCode="m/d/yyyy">
                  <c:v>44928</c:v>
                </c:pt>
                <c:pt idx="1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2"/>
                <c:pt idx="0">
                  <c:v>0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5" totalsRowShown="0" headerRowDxfId="62" dataDxfId="61" tableBorderDxfId="60">
  <autoFilter ref="A2:AH5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6" totalsRowShown="0" headerRowDxfId="25" dataDxfId="23" headerRowBorderDxfId="24" tableBorderDxfId="22" totalsRowBorderDxfId="21">
  <autoFilter ref="A2:U6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G11" sqref="G1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5"/>
  <sheetViews>
    <sheetView showGridLines="0" showRowColHeaders="0" workbookViewId="0">
      <pane ySplit="2" topLeftCell="A3" activePane="bottomLeft" state="frozen"/>
      <selection pane="bottomLeft" activeCell="AI15" sqref="AI15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2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>
        <v>1</v>
      </c>
      <c r="B4" s="3" t="s">
        <v>64</v>
      </c>
      <c r="C4" s="62" t="s">
        <v>65</v>
      </c>
      <c r="D4" s="86" t="s">
        <v>66</v>
      </c>
      <c r="E4" s="3" t="s">
        <v>67</v>
      </c>
      <c r="F4" s="3" t="s">
        <v>68</v>
      </c>
      <c r="G4" s="62" t="s">
        <v>69</v>
      </c>
      <c r="H4" s="86" t="s">
        <v>70</v>
      </c>
      <c r="I4" s="3" t="s">
        <v>71</v>
      </c>
      <c r="J4" s="3" t="s">
        <v>72</v>
      </c>
      <c r="K4" s="3" t="s">
        <v>73</v>
      </c>
      <c r="L4" s="3" t="s">
        <v>74</v>
      </c>
      <c r="M4" s="3" t="s">
        <v>75</v>
      </c>
      <c r="N4" s="89">
        <v>44928</v>
      </c>
      <c r="O4" s="87" t="s">
        <v>76</v>
      </c>
      <c r="P4" s="88" t="s">
        <v>76</v>
      </c>
      <c r="Q4" s="88" t="s">
        <v>76</v>
      </c>
      <c r="R4" s="88" t="s">
        <v>76</v>
      </c>
      <c r="S4" s="88" t="s">
        <v>76</v>
      </c>
      <c r="T4" s="88" t="s">
        <v>76</v>
      </c>
      <c r="U4" s="88" t="s">
        <v>76</v>
      </c>
      <c r="V4" s="88" t="s">
        <v>76</v>
      </c>
      <c r="W4" s="88" t="s">
        <v>76</v>
      </c>
      <c r="X4" s="88" t="s">
        <v>76</v>
      </c>
      <c r="Y4" s="88" t="s">
        <v>76</v>
      </c>
      <c r="Z4" s="88" t="s">
        <v>76</v>
      </c>
      <c r="AA4" s="88" t="s">
        <v>76</v>
      </c>
      <c r="AB4" s="88" t="s">
        <v>76</v>
      </c>
      <c r="AC4" s="88" t="s">
        <v>76</v>
      </c>
      <c r="AD4" s="88" t="s">
        <v>76</v>
      </c>
      <c r="AE4" s="88" t="s">
        <v>76</v>
      </c>
      <c r="AF4" s="88" t="s">
        <v>76</v>
      </c>
      <c r="AG4" s="88" t="s">
        <v>76</v>
      </c>
      <c r="AH4" s="88" t="s">
        <v>76</v>
      </c>
    </row>
    <row r="5" spans="1:36" x14ac:dyDescent="0.3">
      <c r="A5" s="86"/>
      <c r="B5" s="3"/>
      <c r="C5" s="62"/>
      <c r="D5" s="86"/>
      <c r="E5" s="3"/>
      <c r="F5" s="3"/>
      <c r="G5" s="62"/>
      <c r="H5" s="86"/>
      <c r="I5" s="3"/>
      <c r="J5" s="3"/>
      <c r="K5" s="3"/>
      <c r="L5" s="3"/>
      <c r="M5" s="91"/>
      <c r="N5" s="89"/>
      <c r="O5" s="87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5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4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65</v>
      </c>
      <c r="C4" s="84" t="s">
        <v>65</v>
      </c>
      <c r="D4" s="83" t="s">
        <v>77</v>
      </c>
      <c r="E4" s="83" t="s">
        <v>78</v>
      </c>
      <c r="F4" s="83" t="s">
        <v>79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>
        <v>3</v>
      </c>
      <c r="B5" s="84" t="s">
        <v>80</v>
      </c>
      <c r="C5" s="84" t="s">
        <v>80</v>
      </c>
      <c r="D5" s="83" t="s">
        <v>64</v>
      </c>
      <c r="E5" s="83">
        <v>2</v>
      </c>
      <c r="F5" s="83" t="s">
        <v>79</v>
      </c>
      <c r="G5" s="83">
        <v>1</v>
      </c>
      <c r="H5" s="83" t="s">
        <v>27</v>
      </c>
      <c r="I5" s="92">
        <v>44928</v>
      </c>
      <c r="J5" s="67">
        <v>7</v>
      </c>
      <c r="K5" s="67">
        <v>12</v>
      </c>
      <c r="L5" s="67">
        <v>10</v>
      </c>
      <c r="M5" s="67">
        <v>59</v>
      </c>
      <c r="N5" s="67">
        <v>0</v>
      </c>
      <c r="O5" s="76">
        <v>88</v>
      </c>
      <c r="P5" s="68">
        <v>300</v>
      </c>
      <c r="Q5" s="69">
        <v>0</v>
      </c>
      <c r="R5" s="70">
        <v>0</v>
      </c>
      <c r="S5" s="70">
        <v>300</v>
      </c>
      <c r="T5" s="71">
        <v>212</v>
      </c>
      <c r="U5" s="72">
        <v>2.4090909090909092</v>
      </c>
    </row>
    <row r="6" spans="1:25" ht="18" x14ac:dyDescent="0.3">
      <c r="A6" s="99"/>
      <c r="B6" s="100"/>
      <c r="C6" s="100"/>
      <c r="D6" s="99"/>
      <c r="E6" s="99"/>
      <c r="F6" s="99"/>
      <c r="G6" s="99"/>
      <c r="H6" s="99"/>
      <c r="I6" s="101"/>
      <c r="J6" s="67"/>
      <c r="K6" s="67"/>
      <c r="L6" s="67"/>
      <c r="M6" s="67"/>
      <c r="N6" s="67"/>
      <c r="O6" s="102"/>
      <c r="P6" s="103"/>
      <c r="Q6" s="104"/>
      <c r="R6" s="105"/>
      <c r="S6" s="105"/>
      <c r="T6" s="106"/>
      <c r="U6" s="107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N10" s="49"/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  <row r="15" spans="1:25" x14ac:dyDescent="0.3">
      <c r="O15" s="51"/>
      <c r="P15" s="34"/>
      <c r="Q15" s="34"/>
      <c r="R15" s="51"/>
    </row>
  </sheetData>
  <sheetProtection algorithmName="SHA-512" hashValue="MfXyBbnsONJeC5xXLO1gRTQ9MG1vhNa0qg+U4o7Bn/8eagra8uiVeeifjgufILZyf9rh7A+9ON7DkiHvQeQ+RQ==" saltValue="4AaKqIQFpTrKTWbGqwqvaQ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thhJpw3ASGPdwq1yDfIgwi7PICWHbIQPuXeDog3Dc65MMa8iADDGHncBKF2cPRvgB5ZWSm4iDIeEj5hrgO13aQ==" saltValue="+EycxuDgSn/Duj4Sgqzc+w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212</v>
      </c>
      <c r="E2" s="36">
        <f>SUMPRODUCT((MONTH(Tabela4[DATA])=B2)*(Tabela4[TOTAL CUSTO]))</f>
        <v>88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2023-02-01T07:10:57Z</dcterms:modified>
</cp:coreProperties>
</file>