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1ABEBD5F-28E9-4899-A416-CF9F7441FE1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0" l="1"/>
  <c r="F4" i="10"/>
  <c r="F5" i="10"/>
  <c r="F6" i="10"/>
  <c r="F7" i="10"/>
  <c r="F8" i="10"/>
  <c r="F9" i="10"/>
  <c r="F10" i="10"/>
  <c r="F11" i="10"/>
  <c r="F12" i="10"/>
  <c r="F13" i="10"/>
  <c r="F2" i="10"/>
  <c r="D2" i="10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<sst xmlns="http://schemas.openxmlformats.org/spreadsheetml/2006/main" count="87" uniqueCount="72">
  <si>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</si>
  <si>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</si>
  <si>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</si>
  <si>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</si>
  <si>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</si>
  <si>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</si>
  <si>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</si>
  <si>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</si>
  <si>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</si>
  <si>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</si>
  <si>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</si>
  <si>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</si>
  <si>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</si>
  <si>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</si>
  <si>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</si>
  <si>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</si>
  <si>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</si>
  <si>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</si>
  <si>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</si>
  <si>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</si>
  <si>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</si>
  <si>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</si>
  <si>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</si>
  <si>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</si>
  <si>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</si>
  <si>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</si>
  <si>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</si>
  <si>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</si>
  <si>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</si>
  <si>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</si>
  <si>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</si>
  <si>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</si>
  <si>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</si>
  <si>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</si>
  <si>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</si>
  <si>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</si>
  <si>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</si>
  <si>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</si>
  <si>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</si>
  <si>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</si>
  <si>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</si>
  <si>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</si>
  <si>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</si>
  <si>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</si>
  <si>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</si>
  <si>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</si>
  <si>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</si>
  <si>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</si>
  <si>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</si>
  <si>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</si>
  <si>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</si>
  <si>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</si>
  <si>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</si>
  <si>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</si>
  <si>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</si>
  <si>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</si>
  <si>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</si>
  <si>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</si>
  <si>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</si>
  <si>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</si>
  <si>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</si>
  <si>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</si>
  <si>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</si>
  <si>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</si>
  <si>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01</t>
  </si>
  <si>
    <t>SISTEMA</t>
  </si>
  <si>
    <t>vazio</t>
  </si>
  <si>
    <t>Sem descrição</t>
  </si>
  <si>
    <t>tiago</t>
  </si>
  <si>
    <t>02</t>
  </si>
  <si>
    <t>hiago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</si>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</sst>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t-BR"/>
              <a:t>Vendas Diarias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3507665300144789E-2"/>
          <c:y val="0.13679119756048194"/>
          <c:w val="0.81570120856089445"/>
          <c:h val="0.68574846285807189"/>
        </c:manualLayout>
      </c:layout>
      <c:barChart>
        <c:barDir val="col"/>
        <c:grouping val="stacke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5">
                    <a:lumMod val="75000"/>
                    <a:shade val="30000"/>
                    <a:satMod val="115000"/>
                  </a:schemeClr>
                </a:gs>
                <a:gs pos="50000">
                  <a:schemeClr val="accent5">
                    <a:lumMod val="75000"/>
                    <a:shade val="67500"/>
                    <a:satMod val="115000"/>
                  </a:schemeClr>
                </a:gs>
                <a:gs pos="100000">
                  <a:schemeClr val="accent5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invertIfNegative val="0"/>
          <c:cat>
            <c:numRef>
              <c:f>[0]!graficoVendas_data</c:f>
              <c:numCache>
                <c:formatCode>m/d/\y\y\y\y</c:formatCode>
                <c:ptCount val="3"/>
                <c:pt idx="0" formatCode="m/d/yyyy">
                  <c:v>44928</c:v>
                </c:pt>
                <c:pt idx="1">
                  <c:v>44987</c:v>
                </c:pt>
                <c:pt idx="2">
                  <c:v>44987</c:v>
                </c:pt>
              </c:numCache>
            </c:numRef>
          </c:cat>
          <c:val>
            <c:numRef>
              <c:f>[0]!graficoVendas_lucro</c:f>
              <c:numCache>
                <c:formatCode>0.00</c:formatCode>
                <c:ptCount val="3"/>
                <c:pt idx="0">
                  <c:v>0</c:v>
                </c:pt>
                <c:pt idx="1">
                  <c:v>436</c:v>
                </c:pt>
                <c:pt idx="2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28236735"/>
        <c:axId val="1928226335"/>
      </c:barChar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invertIfNegative val="0"/>
          <c:cat>
            <c:numRef>
              <c:f>[0]!graficoVendas_data</c:f>
              <c:numCache>
                <c:formatCode>m/d/\y\y\y\y</c:formatCode>
                <c:ptCount val="3"/>
                <c:pt idx="0" formatCode="m/d/yyyy">
                  <c:v>44928</c:v>
                </c:pt>
                <c:pt idx="1">
                  <c:v>44987</c:v>
                </c:pt>
                <c:pt idx="2">
                  <c:v>44987</c:v>
                </c:pt>
              </c:numCache>
            </c:numRef>
          </c:cat>
          <c:val>
            <c:numRef>
              <c:f>[0]!graficoVendas_custo</c:f>
              <c:numCache>
                <c:formatCode>0.00</c:formatCode>
                <c:ptCount val="3"/>
                <c:pt idx="0">
                  <c:v>0</c:v>
                </c:pt>
                <c:pt idx="1">
                  <c:v>64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0941343"/>
        <c:axId val="1830945503"/>
      </c:bar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valAx>
        <c:axId val="1830945503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0941343"/>
        <c:crosses val="max"/>
        <c:crossBetween val="between"/>
      </c:valAx>
      <c:dateAx>
        <c:axId val="183094134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3094550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090538865123611"/>
          <c:y val="0.11092911396182868"/>
          <c:w val="0.8265294392945407"/>
          <c:h val="0.73633471116173654"/>
        </c:manualLayout>
      </c:layout>
      <c:barChart>
        <c:barDir val="bar"/>
        <c:grouping val="stacked"/>
        <c:varyColors val="0"/>
        <c:ser>
          <c:idx val="1"/>
          <c:order val="0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1"/>
          <c:tx>
            <c:v>Lucro</c:v>
          </c:tx>
          <c:spPr>
            <a:solidFill>
              <a:schemeClr val="accent5">
                <a:lumMod val="75000"/>
              </a:schemeClr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632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ser>
          <c:idx val="2"/>
          <c:order val="2"/>
          <c:tx>
            <c:v>total</c:v>
          </c:tx>
          <c:spPr>
            <a:solidFill>
              <a:srgbClr val="00B050"/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'DADOS SISTEMA'!$F$2:$F$13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750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0-4DEC-A45D-8075E09792B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11" Type="http://schemas.openxmlformats.org/officeDocument/2006/relationships/image" Target="../media/image8.png"/><Relationship Id="rId5" Type="http://schemas.openxmlformats.org/officeDocument/2006/relationships/image" Target="../media/image3.png"/><Relationship Id="rId10" Type="http://schemas.openxmlformats.org/officeDocument/2006/relationships/image" Target="../media/image7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198120</xdr:colOff>
      <xdr:row>0</xdr:row>
      <xdr:rowOff>259080</xdr:rowOff>
    </xdr:from>
    <xdr:to>
      <xdr:col>0</xdr:col>
      <xdr:colOff>558120</xdr:colOff>
      <xdr:row>0</xdr:row>
      <xdr:rowOff>619080</xdr:rowOff>
    </xdr:to>
    <xdr:pic macro="[0]!proteger">
      <xdr:nvPicPr>
        <xdr:cNvPr id="8" name="Imagem 7">
          <a:extLst>
            <a:ext uri="{FF2B5EF4-FFF2-40B4-BE49-F238E27FC236}">
              <a16:creationId xmlns:a16="http://schemas.microsoft.com/office/drawing/2014/main" id="{C47794A8-6B54-1587-969E-7ED8B1FC4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2590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198120</xdr:colOff>
      <xdr:row>0</xdr:row>
      <xdr:rowOff>274320</xdr:rowOff>
    </xdr:from>
    <xdr:to>
      <xdr:col>1</xdr:col>
      <xdr:colOff>558120</xdr:colOff>
      <xdr:row>0</xdr:row>
      <xdr:rowOff>634320</xdr:rowOff>
    </xdr:to>
    <xdr:pic macro="[0]!Desproteger">
      <xdr:nvPicPr>
        <xdr:cNvPr id="11" name="Imagem 10">
          <a:extLst>
            <a:ext uri="{FF2B5EF4-FFF2-40B4-BE49-F238E27FC236}">
              <a16:creationId xmlns:a16="http://schemas.microsoft.com/office/drawing/2014/main" id="{04C755D5-3982-6FAF-2DC4-10197888B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" y="274320"/>
          <a:ext cx="360000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</xdr:colOff>
      <xdr:row>1</xdr:row>
      <xdr:rowOff>129540</xdr:rowOff>
    </xdr:from>
    <xdr:to>
      <xdr:col>15</xdr:col>
      <xdr:colOff>322728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444201</xdr:colOff>
      <xdr:row>1</xdr:row>
      <xdr:rowOff>37429</xdr:rowOff>
    </xdr:from>
    <xdr:to>
      <xdr:col>27</xdr:col>
      <xdr:colOff>436581</xdr:colOff>
      <xdr:row>34</xdr:row>
      <xdr:rowOff>151953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2" dataDxfId="61" tableBorderDxfId="60">
  <autoFilter ref="A2:AH4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7" totalsRowShown="0" headerRowDxfId="25" dataDxfId="23" headerRowBorderDxfId="24" tableBorderDxfId="22" totalsRowBorderDxfId="21">
  <autoFilter ref="A2:U7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26"/>
  </cols>
  <sheetData>
    <row r="1" spans="1:22" ht="70.2" customHeight="1" x14ac:dyDescent="0.3">
      <c r="A1" s="93" t="s">
        <v>33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</row>
    <row r="2" spans="1:22" x14ac:dyDescent="0.3">
      <c r="A2" s="27"/>
      <c r="V2" s="28"/>
    </row>
    <row r="3" spans="1:22" x14ac:dyDescent="0.3">
      <c r="A3" s="27"/>
      <c r="V3" s="28"/>
    </row>
    <row r="4" spans="1:22" x14ac:dyDescent="0.3">
      <c r="A4" s="27"/>
      <c r="V4" s="28"/>
    </row>
    <row r="5" spans="1:22" x14ac:dyDescent="0.3">
      <c r="A5" s="27"/>
      <c r="V5" s="28"/>
    </row>
    <row r="6" spans="1:22" x14ac:dyDescent="0.3">
      <c r="A6" s="27"/>
      <c r="V6" s="28"/>
    </row>
    <row r="7" spans="1:22" x14ac:dyDescent="0.3">
      <c r="A7" s="27"/>
      <c r="V7" s="28"/>
    </row>
    <row r="8" spans="1:22" x14ac:dyDescent="0.3">
      <c r="A8" s="27"/>
      <c r="V8" s="28"/>
    </row>
    <row r="9" spans="1:22" x14ac:dyDescent="0.3">
      <c r="A9" s="27"/>
      <c r="V9" s="28"/>
    </row>
    <row r="10" spans="1:22" x14ac:dyDescent="0.3">
      <c r="A10" s="27"/>
      <c r="V10" s="28"/>
    </row>
    <row r="11" spans="1:22" x14ac:dyDescent="0.3">
      <c r="A11" s="27"/>
      <c r="V11" s="28"/>
    </row>
    <row r="12" spans="1:22" x14ac:dyDescent="0.3">
      <c r="A12" s="27"/>
      <c r="V12" s="28"/>
    </row>
    <row r="13" spans="1:22" x14ac:dyDescent="0.3">
      <c r="A13" s="27"/>
      <c r="V13" s="28"/>
    </row>
    <row r="14" spans="1:22" x14ac:dyDescent="0.3">
      <c r="A14" s="27"/>
      <c r="I14" s="6"/>
      <c r="V14" s="28"/>
    </row>
    <row r="15" spans="1:22" x14ac:dyDescent="0.3">
      <c r="A15" s="27"/>
      <c r="V15" s="28"/>
    </row>
    <row r="16" spans="1:22" x14ac:dyDescent="0.3">
      <c r="A16" s="27"/>
      <c r="V16" s="28"/>
    </row>
    <row r="17" spans="1:22" x14ac:dyDescent="0.3">
      <c r="A17" s="27"/>
      <c r="V17" s="28"/>
    </row>
    <row r="18" spans="1:22" x14ac:dyDescent="0.3">
      <c r="A18" s="27"/>
      <c r="V18" s="28"/>
    </row>
    <row r="19" spans="1:22" x14ac:dyDescent="0.3">
      <c r="A19" s="27"/>
      <c r="V19" s="28"/>
    </row>
    <row r="20" spans="1:22" x14ac:dyDescent="0.3">
      <c r="A20" s="27"/>
      <c r="V20" s="28"/>
    </row>
    <row r="21" spans="1:22" x14ac:dyDescent="0.3">
      <c r="A21" s="27"/>
      <c r="V21" s="28"/>
    </row>
    <row r="22" spans="1:22" x14ac:dyDescent="0.3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1"/>
    </row>
    <row r="23" spans="1:22" ht="40.200000000000003" customHeight="1" x14ac:dyDescent="0.3">
      <c r="A23" s="94" t="s">
        <v>30</v>
      </c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workbookViewId="0">
      <pane ySplit="2" topLeftCell="A3" activePane="bottomLeft" state="frozen"/>
      <selection pane="bottomLeft" activeCell="B9" sqref="B9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3" customWidth="1"/>
    <col min="4" max="5" width="25.6640625" style="1" customWidth="1"/>
    <col min="6" max="6" width="26.33203125" style="1" customWidth="1"/>
    <col min="7" max="7" width="21" style="63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4" customWidth="1"/>
    <col min="15" max="29" width="15.6640625" style="66" customWidth="1"/>
    <col min="30" max="30" width="17" style="66" customWidth="1"/>
    <col min="31" max="34" width="15.6640625" style="66" customWidth="1"/>
    <col min="35" max="35" width="2.88671875" style="1" customWidth="1"/>
    <col min="36" max="16384" width="8.88671875" style="1"/>
  </cols>
  <sheetData>
    <row r="1" spans="1:36" s="6" customFormat="1" ht="49.95" customHeight="1" x14ac:dyDescent="0.3">
      <c r="A1" s="7"/>
      <c r="B1" s="7"/>
      <c r="C1" s="60"/>
      <c r="D1" s="7"/>
      <c r="E1" s="95" t="s">
        <v>31</v>
      </c>
      <c r="F1" s="96"/>
      <c r="G1" s="96"/>
      <c r="H1" s="96"/>
      <c r="I1" s="14"/>
      <c r="J1" s="14"/>
      <c r="K1" s="14"/>
      <c r="L1" s="14"/>
      <c r="M1" s="7"/>
      <c r="N1" s="59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J1" s="9" t="s">
        <v>16</v>
      </c>
    </row>
    <row r="2" spans="1:36" s="19" customFormat="1" ht="18" x14ac:dyDescent="0.3">
      <c r="A2" s="15" t="s">
        <v>16</v>
      </c>
      <c r="B2" s="16" t="s">
        <v>1</v>
      </c>
      <c r="C2" s="61" t="s">
        <v>6</v>
      </c>
      <c r="D2" s="16" t="s">
        <v>7</v>
      </c>
      <c r="E2" s="16" t="s">
        <v>2</v>
      </c>
      <c r="F2" s="16" t="s">
        <v>3</v>
      </c>
      <c r="G2" s="61" t="s">
        <v>47</v>
      </c>
      <c r="H2" s="16" t="s">
        <v>4</v>
      </c>
      <c r="I2" s="16" t="s">
        <v>48</v>
      </c>
      <c r="J2" s="16" t="s">
        <v>49</v>
      </c>
      <c r="K2" s="16" t="s">
        <v>50</v>
      </c>
      <c r="L2" s="16" t="s">
        <v>51</v>
      </c>
      <c r="M2" s="16" t="s">
        <v>5</v>
      </c>
      <c r="N2" s="17" t="s">
        <v>0</v>
      </c>
      <c r="O2" s="65" t="s">
        <v>8</v>
      </c>
      <c r="P2" s="65" t="s">
        <v>53</v>
      </c>
      <c r="Q2" s="65" t="s">
        <v>9</v>
      </c>
      <c r="R2" s="65" t="s">
        <v>10</v>
      </c>
      <c r="S2" s="65" t="s">
        <v>11</v>
      </c>
      <c r="T2" s="65" t="s">
        <v>12</v>
      </c>
      <c r="U2" s="65" t="s">
        <v>13</v>
      </c>
      <c r="V2" s="65" t="s">
        <v>52</v>
      </c>
      <c r="W2" s="65" t="s">
        <v>14</v>
      </c>
      <c r="X2" s="65" t="s">
        <v>54</v>
      </c>
      <c r="Y2" s="65" t="s">
        <v>55</v>
      </c>
      <c r="Z2" s="65" t="s">
        <v>15</v>
      </c>
      <c r="AA2" s="65" t="s">
        <v>56</v>
      </c>
      <c r="AB2" s="65" t="s">
        <v>61</v>
      </c>
      <c r="AC2" s="65" t="s">
        <v>57</v>
      </c>
      <c r="AD2" s="65" t="s">
        <v>63</v>
      </c>
      <c r="AE2" s="65" t="s">
        <v>58</v>
      </c>
      <c r="AF2" s="65" t="s">
        <v>59</v>
      </c>
      <c r="AG2" s="65" t="s">
        <v>60</v>
      </c>
      <c r="AH2" s="65" t="s">
        <v>62</v>
      </c>
      <c r="AI2" s="18"/>
      <c r="AJ2" s="5">
        <v>1</v>
      </c>
    </row>
    <row r="3" spans="1:36" s="19" customFormat="1" ht="18" x14ac:dyDescent="0.3">
      <c r="A3" s="15">
        <v>0</v>
      </c>
      <c r="B3" s="16"/>
      <c r="C3" s="61"/>
      <c r="D3" s="16"/>
      <c r="E3" s="16"/>
      <c r="F3" s="16"/>
      <c r="G3" s="61"/>
      <c r="H3" s="16"/>
      <c r="I3" s="16"/>
      <c r="J3" s="16"/>
      <c r="K3" s="16"/>
      <c r="L3" s="16"/>
      <c r="M3" s="16"/>
      <c r="N3" s="17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58"/>
      <c r="AJ3" s="57"/>
    </row>
    <row r="4" spans="1:36" x14ac:dyDescent="0.3">
      <c r="A4" s="86"/>
      <c r="B4" s="3"/>
      <c r="C4" s="62"/>
      <c r="D4" s="86"/>
      <c r="E4" s="3"/>
      <c r="F4" s="3"/>
      <c r="G4" s="62"/>
      <c r="H4" s="86"/>
      <c r="I4" s="3"/>
      <c r="J4" s="3"/>
      <c r="K4" s="3"/>
      <c r="L4" s="3"/>
      <c r="M4" s="91"/>
      <c r="N4" s="89"/>
      <c r="O4" s="87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6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7.77734375" style="1" bestFit="1" customWidth="1"/>
    <col min="2" max="2" width="16" style="63" customWidth="1"/>
    <col min="3" max="3" width="12.77734375" style="63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4" customWidth="1"/>
    <col min="10" max="14" width="12.77734375" style="2" customWidth="1"/>
    <col min="15" max="15" width="15.6640625" style="52" customWidth="1"/>
    <col min="16" max="17" width="15.6640625" style="2" customWidth="1"/>
    <col min="18" max="18" width="15.6640625" style="52" customWidth="1"/>
    <col min="19" max="19" width="15.6640625" style="55" customWidth="1"/>
    <col min="20" max="20" width="15.6640625" style="52" customWidth="1"/>
    <col min="21" max="21" width="15.6640625" style="5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39"/>
      <c r="B1" s="73"/>
      <c r="C1" s="73"/>
      <c r="D1" s="39"/>
      <c r="E1" s="97" t="s">
        <v>32</v>
      </c>
      <c r="F1" s="97"/>
      <c r="G1" s="97"/>
      <c r="H1" s="97"/>
      <c r="I1" s="97"/>
      <c r="J1" s="40"/>
      <c r="K1" s="40"/>
      <c r="L1" s="40"/>
      <c r="M1" s="40"/>
      <c r="N1" s="40"/>
      <c r="O1" s="50"/>
      <c r="P1" s="41"/>
      <c r="Q1" s="41"/>
      <c r="R1" s="50"/>
      <c r="S1" s="54"/>
      <c r="T1" s="50"/>
      <c r="U1" s="54"/>
      <c r="V1" s="42"/>
      <c r="W1" s="43" t="s">
        <v>16</v>
      </c>
      <c r="X1" s="42"/>
      <c r="Y1" s="42"/>
    </row>
    <row r="2" spans="1:25" ht="18" x14ac:dyDescent="0.3">
      <c r="A2" s="44" t="s">
        <v>16</v>
      </c>
      <c r="B2" s="74" t="s">
        <v>17</v>
      </c>
      <c r="C2" s="74" t="s">
        <v>6</v>
      </c>
      <c r="D2" s="45" t="s">
        <v>45</v>
      </c>
      <c r="E2" s="45" t="s">
        <v>18</v>
      </c>
      <c r="F2" s="45" t="s">
        <v>19</v>
      </c>
      <c r="G2" s="45" t="s">
        <v>20</v>
      </c>
      <c r="H2" s="45" t="s">
        <v>21</v>
      </c>
      <c r="I2" s="46" t="s">
        <v>0</v>
      </c>
      <c r="J2" s="47" t="s">
        <v>38</v>
      </c>
      <c r="K2" s="47" t="s">
        <v>22</v>
      </c>
      <c r="L2" s="47" t="s">
        <v>23</v>
      </c>
      <c r="M2" s="47" t="s">
        <v>24</v>
      </c>
      <c r="N2" s="47" t="s">
        <v>39</v>
      </c>
      <c r="O2" s="75" t="s">
        <v>46</v>
      </c>
      <c r="P2" s="48" t="s">
        <v>43</v>
      </c>
      <c r="Q2" s="48" t="s">
        <v>40</v>
      </c>
      <c r="R2" s="53" t="s">
        <v>41</v>
      </c>
      <c r="S2" s="38" t="s">
        <v>42</v>
      </c>
      <c r="T2" s="53" t="s">
        <v>25</v>
      </c>
      <c r="U2" s="56" t="s">
        <v>44</v>
      </c>
      <c r="W2" s="5">
        <v>4</v>
      </c>
    </row>
    <row r="3" spans="1:25" s="82" customFormat="1" ht="18" x14ac:dyDescent="0.3">
      <c r="A3" s="77">
        <v>0</v>
      </c>
      <c r="B3" s="78"/>
      <c r="C3" s="78"/>
      <c r="D3" s="77"/>
      <c r="E3" s="77"/>
      <c r="F3" s="77"/>
      <c r="G3" s="77"/>
      <c r="H3" s="77"/>
      <c r="I3" s="85"/>
      <c r="J3" s="79"/>
      <c r="K3" s="79"/>
      <c r="L3" s="79"/>
      <c r="M3" s="79"/>
      <c r="N3" s="79"/>
      <c r="O3" s="35"/>
      <c r="P3" s="80"/>
      <c r="Q3" s="79"/>
      <c r="R3" s="35"/>
      <c r="S3" s="35"/>
      <c r="T3" s="35"/>
      <c r="U3" s="81"/>
    </row>
    <row r="4" spans="1:25" ht="18" x14ac:dyDescent="0.3">
      <c r="A4" s="83">
        <v>1</v>
      </c>
      <c r="B4" s="84" t="s">
        <v>64</v>
      </c>
      <c r="C4" s="84" t="s">
        <v>64</v>
      </c>
      <c r="D4" s="83" t="s">
        <v>65</v>
      </c>
      <c r="E4" s="83" t="s">
        <v>66</v>
      </c>
      <c r="F4" s="83" t="s">
        <v>67</v>
      </c>
      <c r="G4" s="83">
        <v>1</v>
      </c>
      <c r="H4" s="83">
        <v>0</v>
      </c>
      <c r="I4" s="90">
        <v>44928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76">
        <v>0</v>
      </c>
      <c r="P4" s="68">
        <v>0</v>
      </c>
      <c r="Q4" s="69">
        <v>0</v>
      </c>
      <c r="R4" s="70">
        <v>0</v>
      </c>
      <c r="S4" s="70">
        <v>0</v>
      </c>
      <c r="T4" s="71">
        <v>0</v>
      </c>
      <c r="U4" s="72">
        <v>0</v>
      </c>
    </row>
    <row r="5" spans="1:25" ht="18" x14ac:dyDescent="0.3">
      <c r="A5" s="83">
        <v>2</v>
      </c>
      <c r="B5" s="84" t="s">
        <v>64</v>
      </c>
      <c r="C5" s="84" t="s">
        <v>64</v>
      </c>
      <c r="D5" s="83" t="s">
        <v>68</v>
      </c>
      <c r="E5" s="83">
        <v>1</v>
      </c>
      <c r="F5" s="83" t="s">
        <v>67</v>
      </c>
      <c r="G5" s="83">
        <v>1</v>
      </c>
      <c r="H5" s="83" t="s">
        <v>28</v>
      </c>
      <c r="I5" s="92">
        <v>44987</v>
      </c>
      <c r="J5" s="67">
        <v>7</v>
      </c>
      <c r="K5" s="67">
        <v>12</v>
      </c>
      <c r="L5" s="67">
        <v>20</v>
      </c>
      <c r="M5" s="67">
        <v>25</v>
      </c>
      <c r="N5" s="67">
        <v>0</v>
      </c>
      <c r="O5" s="76">
        <v>64</v>
      </c>
      <c r="P5" s="68">
        <v>500</v>
      </c>
      <c r="Q5" s="69">
        <v>0</v>
      </c>
      <c r="R5" s="70">
        <v>0</v>
      </c>
      <c r="S5" s="70">
        <v>500</v>
      </c>
      <c r="T5" s="71">
        <v>436</v>
      </c>
      <c r="U5" s="72">
        <v>6.8125</v>
      </c>
    </row>
    <row r="6" spans="1:25" ht="18" x14ac:dyDescent="0.3">
      <c r="A6" s="83">
        <v>3</v>
      </c>
      <c r="B6" s="84" t="s">
        <v>69</v>
      </c>
      <c r="C6" s="84" t="s">
        <v>69</v>
      </c>
      <c r="D6" s="83" t="s">
        <v>70</v>
      </c>
      <c r="E6" s="83">
        <v>2</v>
      </c>
      <c r="F6" s="83" t="s">
        <v>67</v>
      </c>
      <c r="G6" s="83">
        <v>1</v>
      </c>
      <c r="H6" s="83" t="s">
        <v>28</v>
      </c>
      <c r="I6" s="92">
        <v>44987</v>
      </c>
      <c r="J6" s="67">
        <v>7</v>
      </c>
      <c r="K6" s="67">
        <v>12</v>
      </c>
      <c r="L6" s="67">
        <v>15</v>
      </c>
      <c r="M6" s="67">
        <v>20</v>
      </c>
      <c r="N6" s="67">
        <v>0</v>
      </c>
      <c r="O6" s="76">
        <v>54</v>
      </c>
      <c r="P6" s="68">
        <v>250</v>
      </c>
      <c r="Q6" s="69">
        <v>0</v>
      </c>
      <c r="R6" s="70">
        <v>0</v>
      </c>
      <c r="S6" s="70">
        <v>250</v>
      </c>
      <c r="T6" s="71">
        <v>196</v>
      </c>
      <c r="U6" s="72">
        <v>3.6296296296296298</v>
      </c>
    </row>
    <row r="7" spans="1:25" ht="18" x14ac:dyDescent="0.3">
      <c r="A7" s="83"/>
      <c r="B7" s="84"/>
      <c r="C7" s="84"/>
      <c r="D7" s="83"/>
      <c r="E7" s="83"/>
      <c r="F7" s="83"/>
      <c r="G7" s="83"/>
      <c r="H7" s="83"/>
      <c r="I7" s="92"/>
      <c r="J7" s="67"/>
      <c r="K7" s="67"/>
      <c r="L7" s="67"/>
      <c r="M7" s="67"/>
      <c r="N7" s="67"/>
      <c r="O7" s="76"/>
      <c r="P7" s="68"/>
      <c r="Q7" s="69"/>
      <c r="R7" s="70"/>
      <c r="S7" s="70"/>
      <c r="T7" s="71"/>
      <c r="U7" s="72"/>
    </row>
    <row r="8" spans="1:25" x14ac:dyDescent="0.3">
      <c r="O8" s="51"/>
      <c r="P8" s="34"/>
      <c r="Q8" s="34"/>
      <c r="R8" s="51"/>
    </row>
    <row r="9" spans="1:25" x14ac:dyDescent="0.3">
      <c r="O9" s="51"/>
      <c r="P9" s="34"/>
      <c r="Q9" s="34"/>
      <c r="R9" s="51"/>
    </row>
    <row r="10" spans="1:25" x14ac:dyDescent="0.3">
      <c r="O10" s="51"/>
      <c r="P10" s="34"/>
      <c r="Q10" s="34"/>
      <c r="R10" s="51"/>
    </row>
    <row r="11" spans="1:25" x14ac:dyDescent="0.3">
      <c r="N11" s="49"/>
      <c r="O11" s="51"/>
      <c r="P11" s="34"/>
      <c r="Q11" s="34"/>
      <c r="R11" s="51"/>
    </row>
    <row r="12" spans="1:25" x14ac:dyDescent="0.3">
      <c r="O12" s="51"/>
      <c r="P12" s="34"/>
      <c r="Q12" s="34"/>
      <c r="R12" s="51"/>
    </row>
    <row r="13" spans="1:25" x14ac:dyDescent="0.3">
      <c r="O13" s="51"/>
      <c r="P13" s="34"/>
      <c r="Q13" s="34"/>
      <c r="R13" s="51"/>
    </row>
    <row r="14" spans="1:25" x14ac:dyDescent="0.3">
      <c r="O14" s="51"/>
      <c r="P14" s="34"/>
      <c r="Q14" s="34"/>
      <c r="R14" s="51"/>
    </row>
    <row r="15" spans="1:25" x14ac:dyDescent="0.3">
      <c r="O15" s="51"/>
      <c r="P15" s="34"/>
      <c r="Q15" s="34"/>
      <c r="R15" s="51"/>
    </row>
    <row r="16" spans="1:25" x14ac:dyDescent="0.3">
      <c r="O16" s="51"/>
      <c r="P16" s="34"/>
      <c r="Q16" s="34"/>
      <c r="R16" s="51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Z1" sqref="Z1"/>
    </sheetView>
  </sheetViews>
  <sheetFormatPr defaultColWidth="8.88671875" defaultRowHeight="14.4" x14ac:dyDescent="0.3"/>
  <cols>
    <col min="1" max="16384" width="8.88671875" style="26"/>
  </cols>
  <sheetData>
    <row r="1" spans="1:26" s="6" customFormat="1" ht="49.95" customHeight="1" x14ac:dyDescent="0.3">
      <c r="A1" s="20"/>
      <c r="B1" s="21"/>
      <c r="C1" s="21"/>
      <c r="D1" s="21"/>
      <c r="E1" s="21"/>
      <c r="F1" s="98" t="s">
        <v>37</v>
      </c>
      <c r="G1" s="98"/>
      <c r="H1" s="98"/>
      <c r="I1" s="98"/>
      <c r="J1" s="98"/>
      <c r="K1" s="21"/>
      <c r="L1" s="21"/>
      <c r="M1" s="21"/>
      <c r="N1" s="21"/>
      <c r="O1" s="21"/>
      <c r="P1" s="22"/>
      <c r="Q1" s="22"/>
      <c r="R1" s="22"/>
      <c r="S1" s="23"/>
      <c r="T1" s="21"/>
      <c r="U1" s="24"/>
      <c r="V1" s="21"/>
      <c r="W1" s="25"/>
      <c r="X1" s="8"/>
      <c r="Y1" s="8"/>
      <c r="Z1" s="8"/>
    </row>
  </sheetData>
  <sheetProtection algorithmName="SHA-512" hashValue="XniX/Qurx2rktiDqRGVqBS+4A24Ao4bDfZqYw0KNPXhpWt0uJ0panfFcl4/aS+ajDPDDWKQxpPrfuG8DCMVDXw==" saltValue="jOdJ/eX8oct9Q7/ZZW15wQ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F13"/>
  <sheetViews>
    <sheetView showGridLines="0" showRowColHeaders="0" workbookViewId="0">
      <selection activeCell="I5" sqref="I5"/>
    </sheetView>
  </sheetViews>
  <sheetFormatPr defaultColWidth="8.88671875" defaultRowHeight="14.4" x14ac:dyDescent="0.3"/>
  <cols>
    <col min="1" max="1" width="20" style="11" customWidth="1"/>
    <col min="2" max="2" width="6.33203125" style="11" customWidth="1"/>
    <col min="3" max="3" width="13.44140625" style="11" customWidth="1"/>
    <col min="4" max="4" width="9" style="37" customWidth="1"/>
    <col min="5" max="5" width="8.88671875" style="37"/>
    <col min="6" max="16384" width="8.88671875" style="11"/>
  </cols>
  <sheetData>
    <row r="1" spans="1:6" ht="31.2" customHeight="1" x14ac:dyDescent="0.3">
      <c r="A1" s="32" t="s">
        <v>21</v>
      </c>
      <c r="B1" s="10" t="s">
        <v>34</v>
      </c>
      <c r="C1" s="10" t="s">
        <v>36</v>
      </c>
      <c r="D1" s="35" t="s">
        <v>25</v>
      </c>
      <c r="E1" s="35" t="s">
        <v>35</v>
      </c>
      <c r="F1" s="35" t="s">
        <v>71</v>
      </c>
    </row>
    <row r="2" spans="1:6" x14ac:dyDescent="0.3">
      <c r="A2" s="33" t="s">
        <v>28</v>
      </c>
      <c r="B2" s="12">
        <v>1</v>
      </c>
      <c r="C2" s="13" t="str">
        <f>IF(B2=1,"janeiro","")</f>
        <v>janeiro</v>
      </c>
      <c r="D2" s="36">
        <f>SUMPRODUCT((MONTH(Tabela4[DATA])=B2)*(Tabela4[LUCRO]))</f>
        <v>0</v>
      </c>
      <c r="E2" s="36">
        <f>SUMPRODUCT((MONTH(Tabela4[DATA])=B2)*(Tabela4[TOTAL CUSTO]))</f>
        <v>0</v>
      </c>
      <c r="F2" s="36">
        <f>SUMPRODUCT((MONTH(Tabela4[DATA])=B2)*(Tabela4[VALOR VENDA]))</f>
        <v>0</v>
      </c>
    </row>
    <row r="3" spans="1:6" x14ac:dyDescent="0.3">
      <c r="A3" s="33" t="s">
        <v>27</v>
      </c>
      <c r="B3" s="12">
        <v>2</v>
      </c>
      <c r="C3" s="13" t="str">
        <f>IF(B3=2,"Fevereiro","")</f>
        <v>Fevereiro</v>
      </c>
      <c r="D3" s="36">
        <f>SUMPRODUCT((MONTH(Tabela4[DATA])=B3)*(Tabela4[LUCRO]))</f>
        <v>0</v>
      </c>
      <c r="E3" s="36">
        <f>SUMPRODUCT((MONTH(Tabela4[DATA])=B3)*(Tabela4[TOTAL CUSTO]))</f>
        <v>0</v>
      </c>
      <c r="F3" s="36">
        <f>SUMPRODUCT((MONTH(Tabela4[DATA])=B3)*(Tabela4[VALOR VENDA]))</f>
        <v>0</v>
      </c>
    </row>
    <row r="4" spans="1:6" x14ac:dyDescent="0.3">
      <c r="A4" s="33" t="s">
        <v>26</v>
      </c>
      <c r="B4" s="12">
        <v>3</v>
      </c>
      <c r="C4" s="13" t="str">
        <f>IF(B4=3,"Março","")</f>
        <v>Março</v>
      </c>
      <c r="D4" s="36">
        <f>SUMPRODUCT((MONTH(Tabela4[DATA])=B4)*(Tabela4[LUCRO]))</f>
        <v>632</v>
      </c>
      <c r="E4" s="36">
        <f>SUMPRODUCT((MONTH(Tabela4[DATA])=B4)*(Tabela4[TOTAL CUSTO]))</f>
        <v>118</v>
      </c>
      <c r="F4" s="36">
        <f>SUMPRODUCT((MONTH(Tabela4[DATA])=B4)*(Tabela4[VALOR VENDA]))</f>
        <v>750</v>
      </c>
    </row>
    <row r="5" spans="1:6" x14ac:dyDescent="0.3">
      <c r="A5" s="33" t="s">
        <v>29</v>
      </c>
      <c r="B5" s="12">
        <v>4</v>
      </c>
      <c r="C5" s="13" t="str">
        <f>IF(B5=4,"Abril","")</f>
        <v>Abril</v>
      </c>
      <c r="D5" s="36">
        <f>SUMPRODUCT((MONTH(Tabela4[DATA])=B5)*(Tabela4[LUCRO]))</f>
        <v>0</v>
      </c>
      <c r="E5" s="36">
        <f>SUMPRODUCT((MONTH(Tabela4[DATA])=B5)*(Tabela4[TOTAL CUSTO]))</f>
        <v>0</v>
      </c>
      <c r="F5" s="36">
        <f>SUMPRODUCT((MONTH(Tabela4[DATA])=B5)*(Tabela4[VALOR VENDA]))</f>
        <v>0</v>
      </c>
    </row>
    <row r="6" spans="1:6" x14ac:dyDescent="0.3">
      <c r="B6" s="12">
        <v>5</v>
      </c>
      <c r="C6" s="13" t="str">
        <f>IF(B6=5,"Maio","")</f>
        <v>Maio</v>
      </c>
      <c r="D6" s="36">
        <f>SUMPRODUCT((MONTH(Tabela4[DATA])=B6)*(Tabela4[LUCRO]))</f>
        <v>0</v>
      </c>
      <c r="E6" s="36">
        <f>SUMPRODUCT((MONTH(Tabela4[DATA])=B6)*(Tabela4[TOTAL CUSTO]))</f>
        <v>0</v>
      </c>
      <c r="F6" s="36">
        <f>SUMPRODUCT((MONTH(Tabela4[DATA])=B6)*(Tabela4[VALOR VENDA]))</f>
        <v>0</v>
      </c>
    </row>
    <row r="7" spans="1:6" x14ac:dyDescent="0.3">
      <c r="B7" s="12">
        <v>6</v>
      </c>
      <c r="C7" s="13" t="str">
        <f>IF(B7=6,"Junho","")</f>
        <v>Junho</v>
      </c>
      <c r="D7" s="36">
        <f>SUMPRODUCT((MONTH(Tabela4[DATA])=B7)*(Tabela4[LUCRO]))</f>
        <v>0</v>
      </c>
      <c r="E7" s="36">
        <f>SUMPRODUCT((MONTH(Tabela4[DATA])=B7)*(Tabela4[TOTAL CUSTO]))</f>
        <v>0</v>
      </c>
      <c r="F7" s="36">
        <f>SUMPRODUCT((MONTH(Tabela4[DATA])=B7)*(Tabela4[VALOR VENDA]))</f>
        <v>0</v>
      </c>
    </row>
    <row r="8" spans="1:6" x14ac:dyDescent="0.3">
      <c r="B8" s="12">
        <v>7</v>
      </c>
      <c r="C8" s="13" t="str">
        <f>IF(B8=7,"Julho","")</f>
        <v>Julho</v>
      </c>
      <c r="D8" s="36">
        <f>SUMPRODUCT((MONTH(Tabela4[DATA])=B8)*(Tabela4[LUCRO]))</f>
        <v>0</v>
      </c>
      <c r="E8" s="36">
        <f>SUMPRODUCT((MONTH(Tabela4[DATA])=B8)*(Tabela4[TOTAL CUSTO]))</f>
        <v>0</v>
      </c>
      <c r="F8" s="36">
        <f>SUMPRODUCT((MONTH(Tabela4[DATA])=B8)*(Tabela4[VALOR VENDA]))</f>
        <v>0</v>
      </c>
    </row>
    <row r="9" spans="1:6" x14ac:dyDescent="0.3">
      <c r="B9" s="12">
        <v>8</v>
      </c>
      <c r="C9" s="13" t="str">
        <f>IF(B9=8,"Agosto","")</f>
        <v>Agosto</v>
      </c>
      <c r="D9" s="36">
        <f>SUMPRODUCT((MONTH(Tabela4[DATA])=B9)*(Tabela4[LUCRO]))</f>
        <v>0</v>
      </c>
      <c r="E9" s="36">
        <f>SUMPRODUCT((MONTH(Tabela4[DATA])=B9)*(Tabela4[TOTAL CUSTO]))</f>
        <v>0</v>
      </c>
      <c r="F9" s="36">
        <f>SUMPRODUCT((MONTH(Tabela4[DATA])=B9)*(Tabela4[VALOR VENDA]))</f>
        <v>0</v>
      </c>
    </row>
    <row r="10" spans="1:6" x14ac:dyDescent="0.3">
      <c r="B10" s="12">
        <v>9</v>
      </c>
      <c r="C10" s="13" t="str">
        <f>IF(B10=9,"Setembro","")</f>
        <v>Setembro</v>
      </c>
      <c r="D10" s="36">
        <f>SUMPRODUCT((MONTH(Tabela4[DATA])=B10)*(Tabela4[LUCRO]))</f>
        <v>0</v>
      </c>
      <c r="E10" s="36">
        <f>SUMPRODUCT((MONTH(Tabela4[DATA])=B10)*(Tabela4[TOTAL CUSTO]))</f>
        <v>0</v>
      </c>
      <c r="F10" s="36">
        <f>SUMPRODUCT((MONTH(Tabela4[DATA])=B10)*(Tabela4[VALOR VENDA]))</f>
        <v>0</v>
      </c>
    </row>
    <row r="11" spans="1:6" x14ac:dyDescent="0.3">
      <c r="B11" s="12">
        <v>10</v>
      </c>
      <c r="C11" s="13" t="str">
        <f>IF(B11=10,"Outubro","")</f>
        <v>Outubro</v>
      </c>
      <c r="D11" s="36">
        <f>SUMPRODUCT((MONTH(Tabela4[DATA])=B11)*(Tabela4[LUCRO]))</f>
        <v>0</v>
      </c>
      <c r="E11" s="36">
        <f>SUMPRODUCT((MONTH(Tabela4[DATA])=B11)*(Tabela4[TOTAL CUSTO]))</f>
        <v>0</v>
      </c>
      <c r="F11" s="36">
        <f>SUMPRODUCT((MONTH(Tabela4[DATA])=B11)*(Tabela4[VALOR VENDA]))</f>
        <v>0</v>
      </c>
    </row>
    <row r="12" spans="1:6" x14ac:dyDescent="0.3">
      <c r="B12" s="12">
        <v>11</v>
      </c>
      <c r="C12" s="13" t="str">
        <f>IF(B12=11,"Novembro","")</f>
        <v>Novembro</v>
      </c>
      <c r="D12" s="36">
        <f>SUMPRODUCT((MONTH(Tabela4[DATA])=B12)*(Tabela4[LUCRO]))</f>
        <v>0</v>
      </c>
      <c r="E12" s="36">
        <f>SUMPRODUCT((MONTH(Tabela4[DATA])=B12)*(Tabela4[TOTAL CUSTO]))</f>
        <v>0</v>
      </c>
      <c r="F12" s="36">
        <f>SUMPRODUCT((MONTH(Tabela4[DATA])=B12)*(Tabela4[VALOR VENDA]))</f>
        <v>0</v>
      </c>
    </row>
    <row r="13" spans="1:6" x14ac:dyDescent="0.3">
      <c r="B13" s="12">
        <v>12</v>
      </c>
      <c r="C13" s="13" t="str">
        <f>IF(B13=12,"Dezembro","")</f>
        <v>Dezembro</v>
      </c>
      <c r="D13" s="36">
        <f>SUMPRODUCT((MONTH(Tabela4[DATA])=B13)*(Tabela4[LUCRO]))</f>
        <v>0</v>
      </c>
      <c r="E13" s="36">
        <f>SUMPRODUCT((MONTH(Tabela4[DATA])=B13)*(Tabela4[TOTAL CUSTO]))</f>
        <v>0</v>
      </c>
      <c r="F13" s="36">
        <f>SUMPRODUCT((MONTH(Tabela4[DATA])=B13)*(Tabela4[VALOR VENDA]))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2023-02-03T16:10:20Z</dcterms:modified>
</cp:coreProperties>
</file>