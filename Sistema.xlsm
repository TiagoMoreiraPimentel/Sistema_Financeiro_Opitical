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4E246AC5-731C-47E7-8E15-2A35451C068F}" xr6:coauthVersionLast="47" xr6:coauthVersionMax="47" xr10:uidLastSave="{00000000-0000-0000-0000-000000000000}"/>
  <bookViews>
    <workbookView showSheetTabs="0" xWindow="-108" yWindow="-108" windowWidth="23256" windowHeight="12456" activeTab="2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SISTEMA'!$A$2:$A$6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VENDAS'!$X$2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0" l="1"/>
  <c r="F4" i="10"/>
  <c r="F5" i="10"/>
  <c r="F6" i="10"/>
  <c r="F7" i="10"/>
  <c r="F8" i="10"/>
  <c r="F9" i="10"/>
  <c r="F10" i="10"/>
  <c r="F11" i="10"/>
  <c r="F12" i="10"/>
  <c r="F13" i="10"/>
  <c r="F2" i="10"/>
  <c r="D2" i="10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<sst xmlns="http://schemas.openxmlformats.org/spreadsheetml/2006/main" count="99" uniqueCount="74">
  <si>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</si>
  <si>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</si>
  <si>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</si>
  <si>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</si>
  <si>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</si>
  <si>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</si>
  <si>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</si>
  <si>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</si>
  <si>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</si>
  <si>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</si>
  <si>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</si>
  <si>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</si>
  <si>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</si>
  <si>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</si>
  <si>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</si>
  <si>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</si>
  <si>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</si>
  <si>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</si>
  <si>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</si>
  <si>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</si>
  <si>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</si>
  <si>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</si>
  <si>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</si>
  <si>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</si>
  <si>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</si>
  <si>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</si>
  <si>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</si>
  <si>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</si>
  <si>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</si>
  <si>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</si>
  <si>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</si>
  <si>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</si>
  <si>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</si>
  <si>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</si>
  <si>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</si>
  <si>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</si>
  <si>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</si>
  <si>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</si>
  <si>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</si>
  <si>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</si>
  <si>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</si>
  <si>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</si>
  <si>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</si>
  <si>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</si>
  <si>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</si>
  <si>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</si>
  <si>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</si>
  <si>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</si>
  <si>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</si>
  <si>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</si>
  <si>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</si>
  <si>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</si>
  <si>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</si>
  <si>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</si>
  <si>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</si>
  <si>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</si>
  <si>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</si>
  <si>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</si>
  <si>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</si>
  <si>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</si>
  <si>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</si>
  <si>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</si>
  <si>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</si>
  <si>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</si>
  <si>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01</t>
  </si>
  <si>
    <t>SISTEMA</t>
  </si>
  <si>
    <t>vazio</t>
  </si>
  <si>
    <t>Sem descrição</t>
  </si>
  <si>
    <t>tiago</t>
  </si>
  <si>
    <t>02</t>
  </si>
  <si>
    <t>hiago</t>
  </si>
  <si>
    <t>TOTAL</t>
  </si>
  <si>
    <t>Pendente</t>
  </si>
  <si>
    <t>VALOR PENDENTE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</si>
</sst>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2" fontId="6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  <xf numFmtId="2" fontId="6" fillId="7" borderId="1" xfId="0" applyNumberFormat="1" applyFont="1" applyFill="1" applyBorder="1" applyAlignment="1" applyProtection="1">
      <alignment horizontal="center" vertical="center"/>
    </xf>
    <xf numFmtId="2" fontId="2" fillId="6" borderId="1" xfId="0" applyNumberFormat="1" applyFont="1" applyFill="1" applyBorder="1" applyAlignment="1" applyProtection="1">
      <alignment horizontal="center" vertical="center"/>
    </xf>
    <xf numFmtId="2" fontId="6" fillId="6" borderId="1" xfId="0" applyNumberFormat="1" applyFont="1" applyFill="1" applyBorder="1" applyAlignment="1" applyProtection="1">
      <alignment horizontal="center" vertical="center"/>
    </xf>
    <xf numFmtId="10" fontId="6" fillId="6" borderId="1" xfId="0" applyNumberFormat="1" applyFont="1" applyFill="1" applyBorder="1" applyAlignment="1" applyProtection="1">
      <alignment horizontal="center" vertical="center"/>
    </xf>
    <xf numFmtId="2" fontId="6" fillId="0" borderId="0" xfId="0" applyNumberFormat="1" applyFont="1" applyBorder="1" applyAlignment="1" applyProtection="1">
      <alignment horizontal="center" vertical="center"/>
      <protection locked="0"/>
    </xf>
    <xf numFmtId="0" fontId="12" fillId="0" borderId="1" xfId="0" applyNumberFormat="1" applyFont="1" applyFill="1" applyBorder="1" applyAlignment="1" applyProtection="1">
      <alignment horizontal="center" vertical="center"/>
      <protection locked="0"/>
    </xf>
    <xf numFmtId="49" fontId="12" fillId="0" borderId="1" xfId="0" applyNumberFormat="1" applyFont="1" applyFill="1" applyBorder="1" applyAlignment="1" applyProtection="1">
      <alignment horizontal="center" vertical="center"/>
      <protection locked="0"/>
    </xf>
    <xf numFmtId="164" fontId="12" fillId="0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Fill="1" applyBorder="1" applyAlignment="1" applyProtection="1">
      <alignment horizontal="center" vertical="center"/>
      <protection locked="0"/>
    </xf>
    <xf numFmtId="2" fontId="2" fillId="0" borderId="1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64"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t-BR"/>
              <a:t>Vendas Diarias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3507665300144789E-2"/>
          <c:y val="0.13679119756048194"/>
          <c:w val="0.81570120856089445"/>
          <c:h val="0.68574846285807189"/>
        </c:manualLayout>
      </c:layout>
      <c:barChart>
        <c:barDir val="col"/>
        <c:grouping val="stacke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5">
                    <a:lumMod val="75000"/>
                    <a:shade val="30000"/>
                    <a:satMod val="115000"/>
                  </a:schemeClr>
                </a:gs>
                <a:gs pos="50000">
                  <a:schemeClr val="accent5">
                    <a:lumMod val="75000"/>
                    <a:shade val="67500"/>
                    <a:satMod val="115000"/>
                  </a:schemeClr>
                </a:gs>
                <a:gs pos="100000">
                  <a:schemeClr val="accent5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invertIfNegative val="0"/>
          <c:cat>
            <c:numRef>
              <c:f>[0]!graficoVendas_data</c:f>
              <c:numCache>
                <c:formatCode>m/d/\y\y\y\y</c:formatCode>
                <c:ptCount val="5"/>
                <c:pt idx="0" formatCode="m/d/yyyy">
                  <c:v>44928</c:v>
                </c:pt>
                <c:pt idx="1">
                  <c:v>44987</c:v>
                </c:pt>
                <c:pt idx="2">
                  <c:v>44987</c:v>
                </c:pt>
                <c:pt idx="3">
                  <c:v>44987</c:v>
                </c:pt>
                <c:pt idx="4">
                  <c:v>44960</c:v>
                </c:pt>
              </c:numCache>
            </c:numRef>
          </c:cat>
          <c:val>
            <c:numRef>
              <c:f>[0]!graficoVendas_lucro</c:f>
              <c:numCache>
                <c:formatCode>0.00</c:formatCode>
                <c:ptCount val="5"/>
                <c:pt idx="0">
                  <c:v>0</c:v>
                </c:pt>
                <c:pt idx="1">
                  <c:v>436</c:v>
                </c:pt>
                <c:pt idx="2">
                  <c:v>326</c:v>
                </c:pt>
                <c:pt idx="3">
                  <c:v>96</c:v>
                </c:pt>
                <c:pt idx="4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28236735"/>
        <c:axId val="1928226335"/>
      </c:barChar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invertIfNegative val="0"/>
          <c:cat>
            <c:numRef>
              <c:f>[0]!graficoVendas_data</c:f>
              <c:numCache>
                <c:formatCode>m/d/\y\y\y\y</c:formatCode>
                <c:ptCount val="5"/>
                <c:pt idx="0" formatCode="m/d/yyyy">
                  <c:v>44928</c:v>
                </c:pt>
                <c:pt idx="1">
                  <c:v>44987</c:v>
                </c:pt>
                <c:pt idx="2">
                  <c:v>44987</c:v>
                </c:pt>
                <c:pt idx="3">
                  <c:v>44987</c:v>
                </c:pt>
                <c:pt idx="4">
                  <c:v>44960</c:v>
                </c:pt>
              </c:numCache>
            </c:numRef>
          </c:cat>
          <c:val>
            <c:numRef>
              <c:f>[0]!graficoVendas_custo</c:f>
              <c:numCache>
                <c:formatCode>0.00</c:formatCode>
                <c:ptCount val="5"/>
                <c:pt idx="0">
                  <c:v>0</c:v>
                </c:pt>
                <c:pt idx="1">
                  <c:v>64</c:v>
                </c:pt>
                <c:pt idx="2">
                  <c:v>74</c:v>
                </c:pt>
                <c:pt idx="3">
                  <c:v>54</c:v>
                </c:pt>
                <c:pt idx="4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0941343"/>
        <c:axId val="1830945503"/>
      </c:bar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valAx>
        <c:axId val="1830945503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0941343"/>
        <c:crosses val="max"/>
        <c:crossBetween val="between"/>
      </c:valAx>
      <c:dateAx>
        <c:axId val="183094134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309455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090538865123611"/>
          <c:y val="0.11092911396182868"/>
          <c:w val="0.8265294392945407"/>
          <c:h val="0.73633471116173654"/>
        </c:manualLayout>
      </c:layout>
      <c:barChart>
        <c:barDir val="bar"/>
        <c:grouping val="stacked"/>
        <c:varyColors val="0"/>
        <c:ser>
          <c:idx val="1"/>
          <c:order val="0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54</c:v>
                </c:pt>
                <c:pt idx="2">
                  <c:v>192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1"/>
          <c:tx>
            <c:v>Lucro</c:v>
          </c:tx>
          <c:spPr>
            <a:solidFill>
              <a:schemeClr val="accent5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96</c:v>
                </c:pt>
                <c:pt idx="2">
                  <c:v>858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ser>
          <c:idx val="2"/>
          <c:order val="2"/>
          <c:tx>
            <c:v>total</c:v>
          </c:tx>
          <c:spPr>
            <a:solidFill>
              <a:srgbClr val="00B050"/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'DADOS SISTEMA'!$F$2:$F$13</c:f>
              <c:numCache>
                <c:formatCode>0.00</c:formatCode>
                <c:ptCount val="12"/>
                <c:pt idx="0">
                  <c:v>0</c:v>
                </c:pt>
                <c:pt idx="1">
                  <c:v>150</c:v>
                </c:pt>
                <c:pt idx="2">
                  <c:v>1050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0-4DEC-A45D-8075E09792B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11" Type="http://schemas.openxmlformats.org/officeDocument/2006/relationships/image" Target="../media/image8.png"/><Relationship Id="rId5" Type="http://schemas.openxmlformats.org/officeDocument/2006/relationships/image" Target="../media/image3.png"/><Relationship Id="rId10" Type="http://schemas.openxmlformats.org/officeDocument/2006/relationships/image" Target="../media/image7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198120</xdr:colOff>
      <xdr:row>0</xdr:row>
      <xdr:rowOff>259080</xdr:rowOff>
    </xdr:from>
    <xdr:to>
      <xdr:col>0</xdr:col>
      <xdr:colOff>558120</xdr:colOff>
      <xdr:row>0</xdr:row>
      <xdr:rowOff>619080</xdr:rowOff>
    </xdr:to>
    <xdr:pic macro="[0]!proteger">
      <xdr:nvPicPr>
        <xdr:cNvPr id="8" name="Imagem 7">
          <a:extLst>
            <a:ext uri="{FF2B5EF4-FFF2-40B4-BE49-F238E27FC236}">
              <a16:creationId xmlns:a16="http://schemas.microsoft.com/office/drawing/2014/main" id="{C47794A8-6B54-1587-969E-7ED8B1FC4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2590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198120</xdr:colOff>
      <xdr:row>0</xdr:row>
      <xdr:rowOff>274320</xdr:rowOff>
    </xdr:from>
    <xdr:to>
      <xdr:col>1</xdr:col>
      <xdr:colOff>558120</xdr:colOff>
      <xdr:row>0</xdr:row>
      <xdr:rowOff>634320</xdr:rowOff>
    </xdr:to>
    <xdr:pic macro="[0]!Desproteger">
      <xdr:nvPicPr>
        <xdr:cNvPr id="11" name="Imagem 10">
          <a:extLst>
            <a:ext uri="{FF2B5EF4-FFF2-40B4-BE49-F238E27FC236}">
              <a16:creationId xmlns:a16="http://schemas.microsoft.com/office/drawing/2014/main" id="{04C755D5-3982-6FAF-2DC4-10197888B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" y="274320"/>
          <a:ext cx="360000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</xdr:colOff>
      <xdr:row>1</xdr:row>
      <xdr:rowOff>129540</xdr:rowOff>
    </xdr:from>
    <xdr:to>
      <xdr:col>15</xdr:col>
      <xdr:colOff>322728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444201</xdr:colOff>
      <xdr:row>1</xdr:row>
      <xdr:rowOff>37429</xdr:rowOff>
    </xdr:from>
    <xdr:to>
      <xdr:col>27</xdr:col>
      <xdr:colOff>436581</xdr:colOff>
      <xdr:row>34</xdr:row>
      <xdr:rowOff>151953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3" dataDxfId="62" tableBorderDxfId="61">
  <autoFilter ref="A2:AH4" xr:uid="{FB179E74-48E2-4AB2-B030-DEF57A608A5B}"/>
  <tableColumns count="34">
    <tableColumn id="1" xr3:uid="{F1278FE0-D38A-4E18-8A13-0E2D8B64E41A}" name="ID" dataDxfId="60"/>
    <tableColumn id="2" xr3:uid="{44739461-CBC6-4DCA-8080-29A96E07DCB7}" name="NOME COMPLETO" dataDxfId="59"/>
    <tableColumn id="3" xr3:uid="{4A1AC2FC-6986-4D23-95D6-50547B4E9559}" name="O/S" dataDxfId="58"/>
    <tableColumn id="4" xr3:uid="{AF002364-F5B2-4649-A6BC-13107C53F2BD}" name="TELEFONE FIXO" dataDxfId="57"/>
    <tableColumn id="5" xr3:uid="{5136E472-DC36-4EE6-8C51-C86F253871AA}" name="CELULAR" dataDxfId="56"/>
    <tableColumn id="6" xr3:uid="{56DFE2F9-D9D2-4A03-93B9-D2108C2328B4}" name="CPF" dataDxfId="55"/>
    <tableColumn id="30" xr3:uid="{2CFA0DB4-78DA-4CB4-96A9-9ADEB4E9CC7D}" name="CEP" dataDxfId="54"/>
    <tableColumn id="7" xr3:uid="{1866E312-5AE0-4B0B-B19D-0CB7E6B933DE}" name="ENDEREÇO" dataDxfId="53"/>
    <tableColumn id="31" xr3:uid="{32FCD692-AC90-424C-B36F-B411B10EA7BA}" name="COMPLEMENTO" dataDxfId="52"/>
    <tableColumn id="32" xr3:uid="{CDAB0E2F-22F6-4C87-89ED-95DD7C71EBB4}" name="BAIRRO" dataDxfId="51"/>
    <tableColumn id="33" xr3:uid="{AE28BEF3-0E2E-4347-8B10-3C28EC58E28A}" name="LOCALIDADE" dataDxfId="50"/>
    <tableColumn id="34" xr3:uid="{B34E3DAF-4A42-4293-AE45-7284DCF62A1E}" name="UF" dataDxfId="49"/>
    <tableColumn id="8" xr3:uid="{0F4D5A2C-9E4E-4174-9B22-91C6A0DDF61A}" name="OBSERVAÇÃO" dataDxfId="48"/>
    <tableColumn id="9" xr3:uid="{EACE3EBD-CF4B-4FF8-BE2E-4338E3F79AE6}" name="DATA" dataDxfId="47"/>
    <tableColumn id="10" xr3:uid="{81E1C5CC-E8B6-4439-B086-AF3A3E81AD63}" name="OD-ESF" dataDxfId="46"/>
    <tableColumn id="11" xr3:uid="{96976A99-8ADB-4542-BE08-CD7FCDFCDB1B}" name="OD-CIL" dataDxfId="45"/>
    <tableColumn id="12" xr3:uid="{20B3F4FE-8DC5-410A-865D-50918D12836C}" name="OD-EIXO" dataDxfId="44"/>
    <tableColumn id="13" xr3:uid="{5BF0B2DB-486A-4A1D-A58C-5770377B093C}" name="OD-DNP" dataDxfId="43"/>
    <tableColumn id="14" xr3:uid="{84776810-8B50-4301-9303-B014C66A3653}" name="OD-ADIÇÃO" dataDxfId="42"/>
    <tableColumn id="15" xr3:uid="{60BA2D29-180A-4557-A87F-9A9819713BC1}" name="OD-ALTURA" dataDxfId="41"/>
    <tableColumn id="16" xr3:uid="{00084C2D-508F-40C8-8C10-8EB98C0FEEC9}" name="OE-ESF" dataDxfId="40"/>
    <tableColumn id="17" xr3:uid="{2C272586-CA72-46CB-BA36-7E1092EF12B3}" name="OE-CIL" dataDxfId="39"/>
    <tableColumn id="18" xr3:uid="{0BE5D9DD-04F9-4BBB-99CC-269B4DB9019D}" name="OE-EIXO" dataDxfId="38"/>
    <tableColumn id="19" xr3:uid="{3FFBEA31-F658-4FD3-A480-CC3DD145A9EF}" name="OE-DNP" dataDxfId="37"/>
    <tableColumn id="20" xr3:uid="{E908D2F4-4BA2-432C-9F0E-E75039BF2894}" name="OE-ADIÇÃO" dataDxfId="36"/>
    <tableColumn id="21" xr3:uid="{ECF38DDD-7946-44CC-B0D2-85000C112291}" name="OE-ALTURA" dataDxfId="35"/>
    <tableColumn id="22" xr3:uid="{051C54D0-F2D9-438E-9FF9-3BF0FCE52E9D}" name="P - OD-ESF" dataDxfId="34"/>
    <tableColumn id="23" xr3:uid="{8C15F573-94E5-4874-B11D-ABF2583BEDDF}" name="P - OD-CIL" dataDxfId="33"/>
    <tableColumn id="24" xr3:uid="{79AF13A8-4622-4020-90E4-35CB5546C7EC}" name="P - OD-EIXO" dataDxfId="32"/>
    <tableColumn id="25" xr3:uid="{638A6A1C-2BAF-4FBF-BD5E-9D788A5BEF44}" name="P - OD-DNP" dataDxfId="31"/>
    <tableColumn id="26" xr3:uid="{E58475FA-D630-49D8-BF83-B6C6357AFD5D}" name="P - OE-ESF" dataDxfId="30"/>
    <tableColumn id="27" xr3:uid="{B2E859C6-395D-4AAA-A643-AB5B493B27EC}" name="P - OE-CIL" dataDxfId="29"/>
    <tableColumn id="28" xr3:uid="{6256CDB5-0F01-4D3B-AAC5-B25BD56E37EC}" name="P - OE-EIXO" dataDxfId="28"/>
    <tableColumn id="29" xr3:uid="{20F71700-8874-4746-980B-D75DACBD3DA9}" name="P - OE-DNP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V9" totalsRowShown="0" headerRowDxfId="26" dataDxfId="24" headerRowBorderDxfId="25" tableBorderDxfId="23" totalsRowBorderDxfId="22">
  <autoFilter ref="A2:V9" xr:uid="{0905D7B3-B7FE-437A-BEE3-F030AF3D0228}"/>
  <tableColumns count="22">
    <tableColumn id="1" xr3:uid="{B3D09159-866F-4C86-8CFB-777F6B944203}" name="ID" dataDxfId="21"/>
    <tableColumn id="2" xr3:uid="{B5AD712A-2A4B-487E-9C0F-4C96F40F3D92}" name="NF" dataDxfId="20"/>
    <tableColumn id="3" xr3:uid="{A5332774-5E6B-4582-9EBD-F0168FC79273}" name="O/S" dataDxfId="19"/>
    <tableColumn id="4" xr3:uid="{E9F96972-F64C-4737-B4DB-1C78867F11CC}" name="NOME" dataDxfId="18"/>
    <tableColumn id="5" xr3:uid="{025D78F5-81A0-411D-B548-E74CA9B7C859}" name="TIPO LENTE" dataDxfId="17"/>
    <tableColumn id="6" xr3:uid="{2EE7659C-AD70-4885-89A7-6378DE5067EA}" name="DESCRIÇÃO" dataDxfId="16"/>
    <tableColumn id="7" xr3:uid="{8BB3D8D9-0D81-47B0-9CB0-4B792590BCAC}" name="QT" dataDxfId="15"/>
    <tableColumn id="9" xr3:uid="{602DACDE-80C3-4966-B7B9-45032123D33F}" name="F/P" dataDxfId="14"/>
    <tableColumn id="20" xr3:uid="{7CF1AD86-C324-4EAE-8A18-21172BA9626B}" name="DATA" dataDxfId="13"/>
    <tableColumn id="10" xr3:uid="{C1AEC5B2-A64A-48C9-8062-E193CFFD20C3}" name="MONTAGEM" dataDxfId="12"/>
    <tableColumn id="11" xr3:uid="{943CB7CB-FD41-4204-8C39-7E221E24F742}" name="ARMAÇÃO" dataDxfId="11"/>
    <tableColumn id="12" xr3:uid="{17DC4164-7EB7-475B-82B3-B1F2AC58D92D}" name="CAIXINHA/SPRAY" dataDxfId="10"/>
    <tableColumn id="13" xr3:uid="{F65F097F-55B0-4E55-ACCB-6BC34E982B3E}" name="LENTE" dataDxfId="9"/>
    <tableColumn id="19" xr3:uid="{3AB03C89-404E-41DE-9E1B-117884C7B846}" name="TAXA" dataDxfId="8"/>
    <tableColumn id="18" xr3:uid="{ECE9330F-23CC-4281-9283-553A77EFC171}" name="TOTAL CUSTO" dataDxfId="7"/>
    <tableColumn id="22" xr3:uid="{B4FE8C34-491F-4AE2-AF44-E5A40AC3B06B}" name="VALOR VENDA" dataDxfId="6"/>
    <tableColumn id="14" xr3:uid="{6125DDAC-086F-40FC-A435-903F9F431D87}" name="SINAL" dataDxfId="5"/>
    <tableColumn id="16" xr3:uid="{A223BEDC-083E-462B-A406-5946C7EA20A4}" name="RESTANTE" dataDxfId="4"/>
    <tableColumn id="23" xr3:uid="{9600C494-0EDE-461E-899A-D28F05663603}" name="CAIXA" dataDxfId="3"/>
    <tableColumn id="15" xr3:uid="{2D334E11-AFDE-4BD2-ADEA-3DAF30F48583}" name="LUCRO" dataDxfId="2"/>
    <tableColumn id="17" xr3:uid="{F1F51FB2-7426-41B0-9C94-BBA4EAAAE3A1}" name="LUCRO/%" dataDxfId="1"/>
    <tableColumn id="8" xr3:uid="{CBFC820E-98A7-45C2-BF4B-4801E4A09401}" name="VALOR PENDEN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zoomScaleNormal="100" workbookViewId="0">
      <selection sqref="A1:V1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94" t="s">
        <v>33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95" t="s">
        <v>30</v>
      </c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workbookViewId="0">
      <pane ySplit="2" topLeftCell="A3" activePane="bottomLeft" state="frozen"/>
      <selection pane="bottomLeft" activeCell="B9" sqref="B9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96" t="s">
        <v>31</v>
      </c>
      <c r="F1" s="97"/>
      <c r="G1" s="97"/>
      <c r="H1" s="97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1</v>
      </c>
    </row>
    <row r="3" spans="1:36" s="19" customFormat="1" ht="18" x14ac:dyDescent="0.3">
      <c r="A3" s="15">
        <v>0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86"/>
      <c r="B4" s="3"/>
      <c r="C4" s="62"/>
      <c r="D4" s="86"/>
      <c r="E4" s="3"/>
      <c r="F4" s="3"/>
      <c r="G4" s="62"/>
      <c r="H4" s="86"/>
      <c r="I4" s="3"/>
      <c r="J4" s="3"/>
      <c r="K4" s="3"/>
      <c r="L4" s="3"/>
      <c r="M4" s="91"/>
      <c r="N4" s="89"/>
      <c r="O4" s="87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Z18"/>
  <sheetViews>
    <sheetView showGridLines="0" showRowColHeaders="0" tabSelected="1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20.77734375" style="52" bestFit="1" customWidth="1"/>
    <col min="23" max="23" width="3.88671875" style="1" customWidth="1"/>
    <col min="24" max="24" width="8.88671875" style="1"/>
    <col min="25" max="25" width="4" style="1" customWidth="1"/>
    <col min="26" max="16384" width="8.88671875" style="1"/>
  </cols>
  <sheetData>
    <row r="1" spans="1:26" ht="49.95" customHeight="1" x14ac:dyDescent="0.3">
      <c r="A1" s="39"/>
      <c r="B1" s="73"/>
      <c r="C1" s="73"/>
      <c r="D1" s="39"/>
      <c r="E1" s="98" t="s">
        <v>32</v>
      </c>
      <c r="F1" s="98"/>
      <c r="G1" s="98"/>
      <c r="H1" s="98"/>
      <c r="I1" s="98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50"/>
      <c r="W1" s="42"/>
      <c r="X1" s="43" t="s">
        <v>16</v>
      </c>
      <c r="Y1" s="42"/>
      <c r="Z1" s="42"/>
    </row>
    <row r="2" spans="1:26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V2" s="48" t="s">
        <v>73</v>
      </c>
      <c r="X2" s="5">
        <v>7</v>
      </c>
    </row>
    <row r="3" spans="1:26" s="82" customFormat="1" ht="18" x14ac:dyDescent="0.3">
      <c r="A3" s="77">
        <v>0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  <c r="V3" s="79"/>
    </row>
    <row r="4" spans="1:26" ht="18" x14ac:dyDescent="0.3">
      <c r="A4" s="83">
        <v>1</v>
      </c>
      <c r="B4" s="84" t="s">
        <v>64</v>
      </c>
      <c r="C4" s="84" t="s">
        <v>64</v>
      </c>
      <c r="D4" s="83" t="s">
        <v>65</v>
      </c>
      <c r="E4" s="83" t="s">
        <v>66</v>
      </c>
      <c r="F4" s="83" t="s">
        <v>67</v>
      </c>
      <c r="G4" s="83">
        <v>1</v>
      </c>
      <c r="H4" s="83">
        <v>0</v>
      </c>
      <c r="I4" s="90">
        <v>44928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76">
        <v>0</v>
      </c>
      <c r="P4" s="68">
        <v>0</v>
      </c>
      <c r="Q4" s="69">
        <v>0</v>
      </c>
      <c r="R4" s="70">
        <v>0</v>
      </c>
      <c r="S4" s="70">
        <v>0</v>
      </c>
      <c r="T4" s="71">
        <v>0</v>
      </c>
      <c r="U4" s="72">
        <v>0</v>
      </c>
      <c r="V4" s="93"/>
    </row>
    <row r="5" spans="1:26" ht="18" x14ac:dyDescent="0.3">
      <c r="A5" s="83">
        <v>2</v>
      </c>
      <c r="B5" s="84" t="s">
        <v>64</v>
      </c>
      <c r="C5" s="84" t="s">
        <v>64</v>
      </c>
      <c r="D5" s="83" t="s">
        <v>68</v>
      </c>
      <c r="E5" s="83">
        <v>1</v>
      </c>
      <c r="F5" s="83" t="s">
        <v>67</v>
      </c>
      <c r="G5" s="83">
        <v>1</v>
      </c>
      <c r="H5" s="83" t="s">
        <v>28</v>
      </c>
      <c r="I5" s="92">
        <v>44987</v>
      </c>
      <c r="J5" s="67">
        <v>7</v>
      </c>
      <c r="K5" s="67">
        <v>12</v>
      </c>
      <c r="L5" s="67">
        <v>20</v>
      </c>
      <c r="M5" s="67">
        <v>25</v>
      </c>
      <c r="N5" s="67">
        <v>0</v>
      </c>
      <c r="O5" s="76">
        <v>64</v>
      </c>
      <c r="P5" s="68">
        <v>500</v>
      </c>
      <c r="Q5" s="69">
        <v>0</v>
      </c>
      <c r="R5" s="70">
        <v>0</v>
      </c>
      <c r="S5" s="70">
        <v>500</v>
      </c>
      <c r="T5" s="71">
        <v>436</v>
      </c>
      <c r="U5" s="72">
        <v>6.8125</v>
      </c>
      <c r="V5" s="93"/>
    </row>
    <row r="6" spans="1:26" ht="18" x14ac:dyDescent="0.3">
      <c r="A6" s="83">
        <v>4</v>
      </c>
      <c r="B6" s="84" t="s">
        <v>69</v>
      </c>
      <c r="C6" s="84" t="s">
        <v>69</v>
      </c>
      <c r="D6" s="83" t="s">
        <v>68</v>
      </c>
      <c r="E6" s="83">
        <v>2</v>
      </c>
      <c r="F6" s="83" t="s">
        <v>67</v>
      </c>
      <c r="G6" s="83">
        <v>1</v>
      </c>
      <c r="H6" s="83" t="s">
        <v>29</v>
      </c>
      <c r="I6" s="92">
        <v>44987</v>
      </c>
      <c r="J6" s="67">
        <v>10</v>
      </c>
      <c r="K6" s="67">
        <v>7</v>
      </c>
      <c r="L6" s="67">
        <v>12</v>
      </c>
      <c r="M6" s="67">
        <v>45</v>
      </c>
      <c r="N6" s="67">
        <v>0</v>
      </c>
      <c r="O6" s="76">
        <v>74</v>
      </c>
      <c r="P6" s="68">
        <v>400</v>
      </c>
      <c r="Q6" s="69">
        <v>0</v>
      </c>
      <c r="R6" s="70">
        <v>0</v>
      </c>
      <c r="S6" s="70">
        <v>400</v>
      </c>
      <c r="T6" s="71">
        <v>326</v>
      </c>
      <c r="U6" s="72">
        <v>4.4054054054054053</v>
      </c>
      <c r="V6" s="93"/>
    </row>
    <row r="7" spans="1:26" ht="18" x14ac:dyDescent="0.3">
      <c r="A7" s="83">
        <v>5</v>
      </c>
      <c r="B7" s="84" t="s">
        <v>69</v>
      </c>
      <c r="C7" s="84" t="s">
        <v>69</v>
      </c>
      <c r="D7" s="83" t="s">
        <v>70</v>
      </c>
      <c r="E7" s="83">
        <v>2</v>
      </c>
      <c r="F7" s="83" t="s">
        <v>67</v>
      </c>
      <c r="G7" s="83">
        <v>1</v>
      </c>
      <c r="H7" s="83" t="s">
        <v>28</v>
      </c>
      <c r="I7" s="92">
        <v>44987</v>
      </c>
      <c r="J7" s="67">
        <v>7</v>
      </c>
      <c r="K7" s="67">
        <v>12</v>
      </c>
      <c r="L7" s="67">
        <v>15</v>
      </c>
      <c r="M7" s="67">
        <v>20</v>
      </c>
      <c r="N7" s="67">
        <v>0</v>
      </c>
      <c r="O7" s="76">
        <v>54</v>
      </c>
      <c r="P7" s="68">
        <v>150</v>
      </c>
      <c r="Q7" s="69">
        <v>0</v>
      </c>
      <c r="R7" s="70">
        <v>0</v>
      </c>
      <c r="S7" s="70">
        <v>150</v>
      </c>
      <c r="T7" s="71">
        <v>96</v>
      </c>
      <c r="U7" s="72">
        <v>1.7777777777777777</v>
      </c>
      <c r="V7" s="93">
        <v>50</v>
      </c>
    </row>
    <row r="8" spans="1:26" ht="18" x14ac:dyDescent="0.3">
      <c r="A8" s="105">
        <v>6</v>
      </c>
      <c r="B8" s="106" t="s">
        <v>69</v>
      </c>
      <c r="C8" s="106" t="s">
        <v>69</v>
      </c>
      <c r="D8" s="105" t="s">
        <v>70</v>
      </c>
      <c r="E8" s="105">
        <v>2</v>
      </c>
      <c r="F8" s="105" t="s">
        <v>67</v>
      </c>
      <c r="G8" s="105">
        <v>1</v>
      </c>
      <c r="H8" s="105" t="s">
        <v>28</v>
      </c>
      <c r="I8" s="107">
        <v>44960</v>
      </c>
      <c r="J8" s="67">
        <v>7</v>
      </c>
      <c r="K8" s="67">
        <v>12</v>
      </c>
      <c r="L8" s="67">
        <v>15</v>
      </c>
      <c r="M8" s="67">
        <v>20</v>
      </c>
      <c r="N8" s="67">
        <v>0</v>
      </c>
      <c r="O8" s="100">
        <v>54</v>
      </c>
      <c r="P8" s="108">
        <v>150</v>
      </c>
      <c r="Q8" s="109">
        <v>0</v>
      </c>
      <c r="R8" s="101">
        <v>0</v>
      </c>
      <c r="S8" s="101">
        <v>150</v>
      </c>
      <c r="T8" s="102">
        <v>96</v>
      </c>
      <c r="U8" s="103">
        <v>1.7777777777777777</v>
      </c>
      <c r="V8" s="104">
        <v>50</v>
      </c>
    </row>
    <row r="9" spans="1:26" ht="18" x14ac:dyDescent="0.3">
      <c r="A9" s="105"/>
      <c r="B9" s="106"/>
      <c r="C9" s="106"/>
      <c r="D9" s="105"/>
      <c r="E9" s="105"/>
      <c r="F9" s="105"/>
      <c r="G9" s="105"/>
      <c r="H9" s="105"/>
      <c r="I9" s="107"/>
      <c r="J9" s="67"/>
      <c r="K9" s="67"/>
      <c r="L9" s="67"/>
      <c r="M9" s="67"/>
      <c r="N9" s="67"/>
      <c r="O9" s="100"/>
      <c r="P9" s="108"/>
      <c r="Q9" s="109"/>
      <c r="R9" s="101"/>
      <c r="S9" s="101"/>
      <c r="T9" s="102"/>
      <c r="U9" s="103"/>
      <c r="V9" s="104"/>
    </row>
    <row r="10" spans="1:26" x14ac:dyDescent="0.3">
      <c r="O10" s="51"/>
      <c r="P10" s="34"/>
      <c r="Q10" s="34"/>
      <c r="R10" s="51"/>
    </row>
    <row r="11" spans="1:26" x14ac:dyDescent="0.3">
      <c r="O11" s="51"/>
      <c r="P11" s="34"/>
      <c r="Q11" s="34"/>
      <c r="R11" s="51"/>
    </row>
    <row r="12" spans="1:26" x14ac:dyDescent="0.3">
      <c r="O12" s="51"/>
      <c r="P12" s="34"/>
      <c r="Q12" s="34"/>
      <c r="R12" s="51"/>
    </row>
    <row r="13" spans="1:26" x14ac:dyDescent="0.3">
      <c r="N13" s="49"/>
      <c r="O13" s="51"/>
      <c r="P13" s="34"/>
      <c r="Q13" s="34"/>
      <c r="R13" s="51"/>
    </row>
    <row r="14" spans="1:26" x14ac:dyDescent="0.3">
      <c r="O14" s="51"/>
      <c r="P14" s="34"/>
      <c r="Q14" s="34"/>
      <c r="R14" s="51"/>
    </row>
    <row r="15" spans="1:26" x14ac:dyDescent="0.3">
      <c r="O15" s="51"/>
      <c r="P15" s="34"/>
      <c r="Q15" s="34"/>
      <c r="R15" s="51"/>
    </row>
    <row r="16" spans="1:26" x14ac:dyDescent="0.3">
      <c r="O16" s="51"/>
      <c r="P16" s="34"/>
      <c r="Q16" s="34"/>
      <c r="R16" s="51"/>
    </row>
    <row r="17" spans="15:18" x14ac:dyDescent="0.3">
      <c r="O17" s="51"/>
      <c r="P17" s="34"/>
      <c r="Q17" s="34"/>
      <c r="R17" s="51"/>
    </row>
    <row r="18" spans="15:18" x14ac:dyDescent="0.3">
      <c r="O18" s="51"/>
      <c r="P18" s="34"/>
      <c r="Q18" s="34"/>
      <c r="R18" s="51"/>
    </row>
  </sheetData>
  <sheetProtection algorithmName="SHA-512" hashValue="xTvf+frxNS51YCqTfcyMNiIVlxGO3bp/1Rm9LMCQvAbbHg5lr4lzFA4/3+LeLnhdNQwEwO83ZGHaA8Y2G+yFCA==" saltValue="jGh7I5Mf3ok5FV0YAEyJjw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Z1" sqref="Z1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9" t="s">
        <v>37</v>
      </c>
      <c r="G1" s="99"/>
      <c r="H1" s="99"/>
      <c r="I1" s="99"/>
      <c r="J1" s="99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sheetProtection algorithmName="SHA-512" hashValue="ryeu+h+4VKYG8IkSdpkx/pp0N3afTP6Naj9cK5zP8IGZKPZ+uRGbgdYMshs7wdGCLEnBvwK7TQ5KkxtFtTjC2A==" saltValue="aKeS+pM5Ql8ASDgTx8nxiA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F13"/>
  <sheetViews>
    <sheetView showGridLines="0" showRowColHeaders="0" workbookViewId="0">
      <selection activeCell="A2" sqref="A2:A5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6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  <c r="F1" s="35" t="s">
        <v>71</v>
      </c>
    </row>
    <row r="2" spans="1:6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0</v>
      </c>
      <c r="E2" s="36">
        <f>SUMPRODUCT((MONTH(Tabela4[DATA])=B2)*(Tabela4[TOTAL CUSTO]))</f>
        <v>0</v>
      </c>
      <c r="F2" s="36">
        <f>SUMPRODUCT((MONTH(Tabela4[DATA])=B2)*(Tabela4[VALOR VENDA]))</f>
        <v>0</v>
      </c>
    </row>
    <row r="3" spans="1:6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96</v>
      </c>
      <c r="E3" s="36">
        <f>SUMPRODUCT((MONTH(Tabela4[DATA])=B3)*(Tabela4[TOTAL CUSTO]))</f>
        <v>54</v>
      </c>
      <c r="F3" s="36">
        <f>SUMPRODUCT((MONTH(Tabela4[DATA])=B3)*(Tabela4[VALOR VENDA]))</f>
        <v>150</v>
      </c>
    </row>
    <row r="4" spans="1:6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858</v>
      </c>
      <c r="E4" s="36">
        <f>SUMPRODUCT((MONTH(Tabela4[DATA])=B4)*(Tabela4[TOTAL CUSTO]))</f>
        <v>192</v>
      </c>
      <c r="F4" s="36">
        <f>SUMPRODUCT((MONTH(Tabela4[DATA])=B4)*(Tabela4[VALOR VENDA]))</f>
        <v>1050</v>
      </c>
    </row>
    <row r="5" spans="1:6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  <c r="F5" s="36">
        <f>SUMPRODUCT((MONTH(Tabela4[DATA])=B5)*(Tabela4[VALOR VENDA]))</f>
        <v>0</v>
      </c>
    </row>
    <row r="6" spans="1:6" x14ac:dyDescent="0.3">
      <c r="A6" s="33" t="s">
        <v>72</v>
      </c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  <c r="F6" s="36">
        <f>SUMPRODUCT((MONTH(Tabela4[DATA])=B6)*(Tabela4[VALOR VENDA]))</f>
        <v>0</v>
      </c>
    </row>
    <row r="7" spans="1:6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  <c r="F7" s="36">
        <f>SUMPRODUCT((MONTH(Tabela4[DATA])=B7)*(Tabela4[VALOR VENDA]))</f>
        <v>0</v>
      </c>
    </row>
    <row r="8" spans="1:6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  <c r="F8" s="36">
        <f>SUMPRODUCT((MONTH(Tabela4[DATA])=B8)*(Tabela4[VALOR VENDA]))</f>
        <v>0</v>
      </c>
    </row>
    <row r="9" spans="1:6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  <c r="F9" s="36">
        <f>SUMPRODUCT((MONTH(Tabela4[DATA])=B9)*(Tabela4[VALOR VENDA]))</f>
        <v>0</v>
      </c>
    </row>
    <row r="10" spans="1:6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  <c r="F10" s="36">
        <f>SUMPRODUCT((MONTH(Tabela4[DATA])=B10)*(Tabela4[VALOR VENDA]))</f>
        <v>0</v>
      </c>
    </row>
    <row r="11" spans="1:6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  <c r="F11" s="36">
        <f>SUMPRODUCT((MONTH(Tabela4[DATA])=B11)*(Tabela4[VALOR VENDA]))</f>
        <v>0</v>
      </c>
    </row>
    <row r="12" spans="1:6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  <c r="F12" s="36">
        <f>SUMPRODUCT((MONTH(Tabela4[DATA])=B12)*(Tabela4[VALOR VENDA]))</f>
        <v>0</v>
      </c>
    </row>
    <row r="13" spans="1:6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  <c r="F13" s="36">
        <f>SUMPRODUCT((MONTH(Tabela4[DATA])=B13)*(Tabela4[VALOR VENDA]))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2023-02-03T16:47:40Z</dcterms:modified>
</cp:coreProperties>
</file>